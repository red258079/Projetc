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 không linh tinh\"/>
    </mc:Choice>
  </mc:AlternateContent>
  <xr:revisionPtr revIDLastSave="0" documentId="13_ncr:1_{546CFFDB-6EBA-4733-B132-4A86F173C71A}" xr6:coauthVersionLast="47" xr6:coauthVersionMax="47" xr10:uidLastSave="{00000000-0000-0000-0000-000000000000}"/>
  <bookViews>
    <workbookView xWindow="-108" yWindow="-108" windowWidth="23256" windowHeight="12576" activeTab="4" xr2:uid="{687AF959-76E4-4F8B-9275-95FAF104099B}"/>
  </bookViews>
  <sheets>
    <sheet name="Bangcongviec" sheetId="1" r:id="rId1"/>
    <sheet name="Uocluongthoigian" sheetId="2" r:id="rId2"/>
    <sheet name="Chiphi" sheetId="3" r:id="rId3"/>
    <sheet name="Lichtrinhduan" sheetId="5" r:id="rId4"/>
    <sheet name="lichtrinhcongviec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" i="1" l="1"/>
  <c r="A4" i="1"/>
  <c r="A1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" i="3"/>
  <c r="E32" i="2"/>
  <c r="D32" i="2"/>
  <c r="C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I32" i="3" l="1"/>
  <c r="F32" i="2"/>
</calcChain>
</file>

<file path=xl/sharedStrings.xml><?xml version="1.0" encoding="utf-8"?>
<sst xmlns="http://schemas.openxmlformats.org/spreadsheetml/2006/main" count="253" uniqueCount="129">
  <si>
    <t>Tên Dự Án</t>
  </si>
  <si>
    <t>Mục đích</t>
  </si>
  <si>
    <t>Mục Tiêu</t>
  </si>
  <si>
    <t>1: Xây dựng app quản lý phòng Gym phục vụ cho chủ phòng Gym và hội viên.	
2: Xây dựng hệ thống quản lý thông tin hội viên của phòng gym.
3: Xây dựng chức năng đăng ký và quản lý các gói tập.
4: Xây dựng chức năng điểm danh hội viên theo ngày và giờ.
5: Xây dựng chức năng hiển thị lịch tập cho hội viên.
6: Xây dựng cơ sở dữ liệu phục vụ lưu trữ và quản lý thông tin phòng gym.</t>
  </si>
  <si>
    <t xml:space="preserve">Tên Công Việc </t>
  </si>
  <si>
    <t>Phân tích thiết kế</t>
  </si>
  <si>
    <t>1.1 Khảo sát yêu cầu</t>
  </si>
  <si>
    <t>1.2 Đặc tả yêu cầu</t>
  </si>
  <si>
    <t>1.4 Thiết kế giao diện</t>
  </si>
  <si>
    <t>1.5 Duyệt thiết kế và phạm vi</t>
  </si>
  <si>
    <t xml:space="preserve">Phát triển ứng dụng </t>
  </si>
  <si>
    <t xml:space="preserve">2.2 Lập trình Backend </t>
  </si>
  <si>
    <t>2.2.1 Dựng khung dự án và kết nối CSDL</t>
  </si>
  <si>
    <t>2.2.2 Lập trình API xác thực (Đăng nhập, Phân quyền)</t>
  </si>
  <si>
    <t>2.2.3 Lập trình API quản lý Hội viên (Thêm, Sửa, Xóa, Tìm kiếm)</t>
  </si>
  <si>
    <t>2.2.4 Lập trình API nghiệp vụ Gói tập và Điểm danh</t>
  </si>
  <si>
    <t>2.2.5 Lập trình API Thống kê báo cáo</t>
  </si>
  <si>
    <t>2.3 Lập trình Frontend</t>
  </si>
  <si>
    <t>2.3.1 Xây dựng giao diện Web Admin (Layout, Dashboard)</t>
  </si>
  <si>
    <t>2.3.2 Tích hợp API vào Web Admin</t>
  </si>
  <si>
    <t>2.3.3 Xây dựng giao diện Mobile App (Login, Home, Profile...)</t>
  </si>
  <si>
    <t>2.3.4 Tích hợp API vào Mobile App</t>
  </si>
  <si>
    <t xml:space="preserve">2.4 Ghép nối và chạy thử toàn hệ thống </t>
  </si>
  <si>
    <t>3.1 Lập kế hoạch kiểm thử FE ux và ui</t>
  </si>
  <si>
    <t>3.2 Thực hiện kiểm thử BE và DB</t>
  </si>
  <si>
    <t xml:space="preserve">Kiểm thử hệ thống </t>
  </si>
  <si>
    <t>3.4 Sửa lỗi và kiểm tra lại</t>
  </si>
  <si>
    <t xml:space="preserve">4.1 Cấu hình và đưa hệ thống lên Server thật </t>
  </si>
  <si>
    <t>4.2 Đóng gói bộ cài đặt ứng dụng</t>
  </si>
  <si>
    <t>Bàn giao hệ thống</t>
  </si>
  <si>
    <t>4.3 Soạn thảo tài liệu hướng dẫn sử dụng</t>
  </si>
  <si>
    <t>4.4 Bàn giao sản phẩm cho khách hàng</t>
  </si>
  <si>
    <t>5.1 Giám sát hoạt động của hệ thống sau bàn giao</t>
  </si>
  <si>
    <t xml:space="preserve">5.2 Thực hiện sao lưu dữ liệu dự phòng </t>
  </si>
  <si>
    <t xml:space="preserve">Bảo trì </t>
  </si>
  <si>
    <t>5.3 Hỗ trợ kỹ thuật và khắc phục sự cố phát sinh</t>
  </si>
  <si>
    <t>Phục vụ công tác quản lý phòng gym</t>
  </si>
  <si>
    <t>TT</t>
  </si>
  <si>
    <t xml:space="preserve">Tên công việc </t>
  </si>
  <si>
    <t>Khảo sát yêu cầu phòng Gym</t>
  </si>
  <si>
    <t>Đặc tả yêu cầu</t>
  </si>
  <si>
    <t xml:space="preserve">Thiết kế cơ sở dữ liệu </t>
  </si>
  <si>
    <t>Thiết kế giao diện</t>
  </si>
  <si>
    <t>Duyệt thiết kế và phạm vi</t>
  </si>
  <si>
    <t xml:space="preserve">Xây dựng Cơ sở dữ liệu </t>
  </si>
  <si>
    <t>2.2.1</t>
  </si>
  <si>
    <t>Dựng khung dự án và kết nối CSDL</t>
  </si>
  <si>
    <t>2.2.2</t>
  </si>
  <si>
    <t>Lập trình API xác thực (Đăng nhập, Phân quyền)</t>
  </si>
  <si>
    <t>2.2.3</t>
  </si>
  <si>
    <t>Lập trình API quản lý Hội viên (Thêm, Sửa, Xóa, Tìm kiếm)</t>
  </si>
  <si>
    <t>2.2.4</t>
  </si>
  <si>
    <t>Lập trình API nghiệp vụ Gói tập và Điểm danh</t>
  </si>
  <si>
    <t>2.2.5</t>
  </si>
  <si>
    <t>Lập trình API Thống kê báo cáo</t>
  </si>
  <si>
    <t>Lập trình Frontend</t>
  </si>
  <si>
    <t>2.3.1</t>
  </si>
  <si>
    <t>Xây dựng giao diện Web Admin (Layout, Dashboard)</t>
  </si>
  <si>
    <t>2.3.2</t>
  </si>
  <si>
    <t>Tích hợp API vào Web Admin</t>
  </si>
  <si>
    <t>2.3.3</t>
  </si>
  <si>
    <t>Xây dựng giao diện Mobile App (Login, Home, Profile...)</t>
  </si>
  <si>
    <t>2.3.4</t>
  </si>
  <si>
    <t>Tích hợp API vào Mobile App</t>
  </si>
  <si>
    <t xml:space="preserve">Ghép nối và chạy thử toàn hệ thống </t>
  </si>
  <si>
    <t xml:space="preserve">Lập kế hoạch kiểm thử </t>
  </si>
  <si>
    <t>Thực hiện kiểm thử FE</t>
  </si>
  <si>
    <t>Sửa lỗi và kiểm tra lại</t>
  </si>
  <si>
    <t xml:space="preserve">Cấu hình và đưa hệ thống lên Server thật </t>
  </si>
  <si>
    <t>Đóng gói bộ cài đặt ứng dụng</t>
  </si>
  <si>
    <t>Soạn thảo tài liệu hướng dẫn sử dụng</t>
  </si>
  <si>
    <t>Bàn giao sản phẩm cho khách hàng</t>
  </si>
  <si>
    <t>Giám sát hoạt động của hệ thống sau bàn giao</t>
  </si>
  <si>
    <t>Thực hiện sao lưu dữ liệu dự phòng</t>
  </si>
  <si>
    <t>Hỗ trợ kỹ thuật và khắc phục sự cố phát sinh</t>
  </si>
  <si>
    <t>Tổng thời gian</t>
  </si>
  <si>
    <t>Lập trình Backend</t>
  </si>
  <si>
    <t>Thực hiện kiểm thử BE và DB</t>
  </si>
  <si>
    <t xml:space="preserve">1.3 Thiết kế cơ sở dữ liệu </t>
  </si>
  <si>
    <t xml:space="preserve">2.1 Xây dựng Cơ sở dữ liệu </t>
  </si>
  <si>
    <t xml:space="preserve">3.3 Thực hiện kiểm thử tích hợp </t>
  </si>
  <si>
    <t>Số hiệu công việc</t>
  </si>
  <si>
    <t>Mô tả công việc</t>
  </si>
  <si>
    <t>Thiết Kế</t>
  </si>
  <si>
    <t>Văn phòng phẩm</t>
  </si>
  <si>
    <t>Huấn luyện</t>
  </si>
  <si>
    <t>Chi khác</t>
  </si>
  <si>
    <t>Tổng cộng</t>
  </si>
  <si>
    <t>Thết kế hệ thống</t>
  </si>
  <si>
    <t>Phát triển ứng dụng</t>
  </si>
  <si>
    <t>Kiểm thử hệ thống</t>
  </si>
  <si>
    <t xml:space="preserve">Bảo Trì cho khách hàng </t>
  </si>
  <si>
    <t>Khảo sát mô tả phòng Gym</t>
  </si>
  <si>
    <t xml:space="preserve">Cấu hình và hệ thống lên Server thật </t>
  </si>
  <si>
    <t xml:space="preserve">Lập trình Backend </t>
  </si>
  <si>
    <t xml:space="preserve">Tổng chi phí </t>
  </si>
  <si>
    <t>Xây dựng giao diện Admin (Layout, Dashboard)</t>
  </si>
  <si>
    <t>Tích hợp API vào Admin</t>
  </si>
  <si>
    <t>Lập trình API nghiệp vụ Gói tập và điểm danh</t>
  </si>
  <si>
    <t xml:space="preserve"> BẢNG ƯỚC LƯỢNG THỜI GIAN </t>
  </si>
  <si>
    <r>
      <t>MO (</t>
    </r>
    <r>
      <rPr>
        <b/>
        <sz val="12"/>
        <color theme="8"/>
        <rFont val="Times New Roman"/>
        <family val="1"/>
      </rPr>
      <t>Ngày</t>
    </r>
    <r>
      <rPr>
        <b/>
        <sz val="12"/>
        <color theme="1"/>
        <rFont val="Times New Roman"/>
        <family val="1"/>
      </rPr>
      <t>)</t>
    </r>
  </si>
  <si>
    <r>
      <t>ML (</t>
    </r>
    <r>
      <rPr>
        <b/>
        <sz val="12"/>
        <color theme="8"/>
        <rFont val="Times New Roman"/>
        <family val="1"/>
      </rPr>
      <t>Ngày</t>
    </r>
    <r>
      <rPr>
        <b/>
        <sz val="12"/>
        <color theme="1"/>
        <rFont val="Times New Roman"/>
        <family val="1"/>
      </rPr>
      <t>)</t>
    </r>
  </si>
  <si>
    <r>
      <t>MP (</t>
    </r>
    <r>
      <rPr>
        <b/>
        <sz val="12"/>
        <color theme="8"/>
        <rFont val="Times New Roman"/>
        <family val="1"/>
      </rPr>
      <t>Ngày</t>
    </r>
    <r>
      <rPr>
        <b/>
        <sz val="12"/>
        <color theme="1"/>
        <rFont val="Times New Roman"/>
        <family val="1"/>
      </rPr>
      <t>)</t>
    </r>
  </si>
  <si>
    <r>
      <t>EST (</t>
    </r>
    <r>
      <rPr>
        <b/>
        <sz val="12"/>
        <color theme="8"/>
        <rFont val="Times New Roman"/>
        <family val="1"/>
      </rPr>
      <t>Ngày</t>
    </r>
    <r>
      <rPr>
        <b/>
        <sz val="12"/>
        <color theme="1"/>
        <rFont val="Times New Roman"/>
        <family val="1"/>
      </rPr>
      <t>)</t>
    </r>
  </si>
  <si>
    <t>LỊCH TRÌNH CHO DỰ ÁN</t>
  </si>
  <si>
    <t xml:space="preserve">Công việc </t>
  </si>
  <si>
    <t>tuần 1</t>
  </si>
  <si>
    <t>tuần 2</t>
  </si>
  <si>
    <t>tuần 3</t>
  </si>
  <si>
    <t>tuần 4</t>
  </si>
  <si>
    <t>tuần 5</t>
  </si>
  <si>
    <t>tuần 6</t>
  </si>
  <si>
    <t>tuần 7</t>
  </si>
  <si>
    <t>tuần 8</t>
  </si>
  <si>
    <t>tuần 9</t>
  </si>
  <si>
    <t xml:space="preserve">tuần 10 </t>
  </si>
  <si>
    <t>tuần 11</t>
  </si>
  <si>
    <t>tuần 12</t>
  </si>
  <si>
    <t>Tiền công ,tiền lương</t>
  </si>
  <si>
    <t>Ghi chú</t>
  </si>
  <si>
    <t xml:space="preserve">Số tiền bằng chữ ba mươi hai triệu tám trăm năm mươi nghìn đồng </t>
  </si>
  <si>
    <t>x</t>
  </si>
  <si>
    <t>LỊCH TRÌNH CÔNG VIỆC</t>
  </si>
  <si>
    <t>Tổng tuần</t>
  </si>
  <si>
    <t>Tuần</t>
  </si>
  <si>
    <t>Phân tích yêu cầu</t>
  </si>
  <si>
    <t>phát triển ứng dụng</t>
  </si>
  <si>
    <t>█</t>
  </si>
  <si>
    <t xml:space="preserve">Bàn giao hệ thống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</si>
</sst>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_-* #,##0.00\ [$₫-42A]_-;\-* #,##0.00\ [$₫-42A]_-;_-* &quot;-&quot;??\ [$₫-42A]_-;_-@_-"/>
    <numFmt numFmtId="166" formatCode="_-* #,##0\ [$₫-42A]_-;\-* #,##0\ [$₫-42A]_-;_-* &quot;-&quot;\ [$₫-42A]_-;_-@_-"/>
    <numFmt numFmtId="167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20"/>
      <color rgb="FFFF0000"/>
      <name val="Times New Roman"/>
      <family val="1"/>
    </font>
    <font>
      <sz val="20"/>
      <color rgb="FFFF0000"/>
      <name val="Times New Roman"/>
      <family val="1"/>
    </font>
    <font>
      <b/>
      <sz val="16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rgb="FFFF0000"/>
      <name val="Times New Roman"/>
      <family val="1"/>
    </font>
    <font>
      <b/>
      <sz val="12"/>
      <color theme="8"/>
      <name val="Times New Roman"/>
      <family val="1"/>
    </font>
    <font>
      <b/>
      <sz val="12"/>
      <color rgb="FFC00000"/>
      <name val="Times New Roman"/>
      <family val="1"/>
    </font>
    <font>
      <sz val="12"/>
      <color rgb="FFC00000"/>
      <name val="Times New Roman"/>
      <family val="1"/>
    </font>
    <font>
      <sz val="20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9"/>
      <name val="Times New Roman"/>
      <family val="1"/>
    </font>
    <font>
      <sz val="11"/>
      <color rgb="FFFFC000"/>
      <name val="Times New Roman"/>
      <family val="1"/>
    </font>
    <font>
      <sz val="11"/>
      <color rgb="FF00B0F0"/>
      <name val="Calibri"/>
      <family val="2"/>
      <scheme val="minor"/>
    </font>
    <font>
      <sz val="11"/>
      <color rgb="FF00B0F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2">
    <xf numFmtId="0" fontId="0" fillId="0" borderId="0" xfId="0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left" wrapText="1"/>
    </xf>
    <xf numFmtId="0" fontId="9" fillId="0" borderId="2" xfId="0" applyFont="1" applyBorder="1"/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164" fontId="8" fillId="0" borderId="2" xfId="0" applyNumberFormat="1" applyFont="1" applyBorder="1"/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wrapText="1"/>
    </xf>
    <xf numFmtId="0" fontId="8" fillId="0" borderId="2" xfId="0" applyFont="1" applyBorder="1" applyAlignment="1">
      <alignment horizontal="left"/>
    </xf>
    <xf numFmtId="164" fontId="14" fillId="0" borderId="2" xfId="0" applyNumberFormat="1" applyFont="1" applyBorder="1"/>
    <xf numFmtId="2" fontId="14" fillId="0" borderId="2" xfId="0" applyNumberFormat="1" applyFont="1" applyBorder="1"/>
    <xf numFmtId="0" fontId="9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wrapText="1"/>
    </xf>
    <xf numFmtId="0" fontId="8" fillId="0" borderId="2" xfId="0" applyFont="1" applyBorder="1"/>
    <xf numFmtId="0" fontId="9" fillId="0" borderId="2" xfId="0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/>
    </xf>
    <xf numFmtId="165" fontId="8" fillId="0" borderId="2" xfId="0" applyNumberFormat="1" applyFont="1" applyBorder="1" applyAlignment="1">
      <alignment wrapText="1"/>
    </xf>
    <xf numFmtId="167" fontId="8" fillId="0" borderId="2" xfId="1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right" vertical="center"/>
    </xf>
    <xf numFmtId="165" fontId="8" fillId="0" borderId="2" xfId="0" applyNumberFormat="1" applyFont="1" applyBorder="1" applyAlignment="1">
      <alignment horizontal="left" vertical="center"/>
    </xf>
    <xf numFmtId="167" fontId="8" fillId="0" borderId="2" xfId="1" applyNumberFormat="1" applyFont="1" applyBorder="1"/>
    <xf numFmtId="165" fontId="8" fillId="0" borderId="2" xfId="0" applyNumberFormat="1" applyFont="1" applyBorder="1" applyAlignment="1">
      <alignment horizontal="left" vertical="center" wrapText="1"/>
    </xf>
    <xf numFmtId="165" fontId="8" fillId="0" borderId="2" xfId="0" applyNumberFormat="1" applyFont="1" applyBorder="1" applyAlignment="1">
      <alignment horizontal="left" wrapText="1"/>
    </xf>
    <xf numFmtId="165" fontId="8" fillId="0" borderId="2" xfId="0" applyNumberFormat="1" applyFont="1" applyBorder="1" applyAlignment="1">
      <alignment horizontal="left"/>
    </xf>
    <xf numFmtId="1" fontId="8" fillId="0" borderId="2" xfId="1" applyNumberFormat="1" applyFont="1" applyFill="1" applyBorder="1"/>
    <xf numFmtId="1" fontId="8" fillId="0" borderId="2" xfId="1" applyNumberFormat="1" applyFont="1" applyBorder="1"/>
    <xf numFmtId="0" fontId="9" fillId="0" borderId="2" xfId="0" applyFont="1" applyBorder="1" applyAlignment="1">
      <alignment vertical="center"/>
    </xf>
    <xf numFmtId="165" fontId="11" fillId="0" borderId="2" xfId="0" applyNumberFormat="1" applyFont="1" applyBorder="1" applyAlignment="1">
      <alignment horizontal="center"/>
    </xf>
    <xf numFmtId="166" fontId="11" fillId="0" borderId="2" xfId="1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/>
    <xf numFmtId="0" fontId="11" fillId="0" borderId="0" xfId="0" applyFont="1" applyAlignment="1"/>
    <xf numFmtId="0" fontId="15" fillId="0" borderId="0" xfId="0" applyFont="1" applyAlignment="1">
      <alignment vertical="center"/>
    </xf>
    <xf numFmtId="0" fontId="4" fillId="0" borderId="0" xfId="0" applyFont="1" applyBorder="1"/>
    <xf numFmtId="0" fontId="8" fillId="0" borderId="0" xfId="0" applyFont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/>
    <xf numFmtId="0" fontId="9" fillId="0" borderId="2" xfId="0" applyFont="1" applyBorder="1" applyAlignment="1">
      <alignment horizontal="left" vertical="center"/>
    </xf>
    <xf numFmtId="0" fontId="3" fillId="0" borderId="2" xfId="0" applyFont="1" applyBorder="1"/>
    <xf numFmtId="0" fontId="9" fillId="0" borderId="2" xfId="0" applyFont="1" applyBorder="1" applyAlignment="1">
      <alignment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wrapText="1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2" xfId="0" applyFont="1" applyBorder="1"/>
    <xf numFmtId="0" fontId="9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13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97397-7739-427B-BD4A-C6CD265F2EA2}">
  <dimension ref="A1:B36"/>
  <sheetViews>
    <sheetView zoomScale="85" zoomScaleNormal="85" workbookViewId="0">
      <selection activeCell="A32" sqref="A32:A34"/>
    </sheetView>
  </sheetViews>
  <sheetFormatPr defaultRowHeight="14.4" x14ac:dyDescent="0.3"/>
  <cols>
    <col min="1" max="1" width="23.33203125" customWidth="1"/>
    <col min="2" max="2" width="60.44140625" customWidth="1"/>
  </cols>
  <sheetData>
    <row r="1" spans="1:2" ht="24.6" x14ac:dyDescent="0.3">
      <c r="A1" s="23" t="s">
        <v>0</v>
      </c>
      <c r="B1" s="24" t="str">
        <f>UPPER("Quản lý phòng Gym")</f>
        <v>QUẢN LÝ PHÒNG GYM</v>
      </c>
    </row>
    <row r="2" spans="1:2" ht="27" customHeight="1" x14ac:dyDescent="0.3">
      <c r="A2" s="23" t="s">
        <v>1</v>
      </c>
      <c r="B2" s="25" t="s">
        <v>36</v>
      </c>
    </row>
    <row r="3" spans="1:2" ht="129.6" customHeight="1" x14ac:dyDescent="0.3">
      <c r="A3" s="23" t="s">
        <v>2</v>
      </c>
      <c r="B3" s="25" t="s">
        <v>3</v>
      </c>
    </row>
    <row r="4" spans="1:2" ht="31.8" customHeight="1" x14ac:dyDescent="0.3">
      <c r="A4" s="68" t="str">
        <f>UPPER("Bảng công việc cho dự án")</f>
        <v>BẢNG CÔNG VIỆC CHO DỰ ÁN</v>
      </c>
      <c r="B4" s="68"/>
    </row>
    <row r="5" spans="1:2" ht="15.6" x14ac:dyDescent="0.3">
      <c r="A5" s="26"/>
      <c r="B5" s="25" t="s">
        <v>4</v>
      </c>
    </row>
    <row r="6" spans="1:2" ht="16.2" customHeight="1" x14ac:dyDescent="0.3">
      <c r="A6" s="67" t="s">
        <v>5</v>
      </c>
      <c r="B6" s="25" t="s">
        <v>6</v>
      </c>
    </row>
    <row r="7" spans="1:2" ht="15.6" x14ac:dyDescent="0.3">
      <c r="A7" s="67"/>
      <c r="B7" s="27" t="s">
        <v>7</v>
      </c>
    </row>
    <row r="8" spans="1:2" ht="16.8" customHeight="1" x14ac:dyDescent="0.3">
      <c r="A8" s="67"/>
      <c r="B8" s="16" t="s">
        <v>78</v>
      </c>
    </row>
    <row r="9" spans="1:2" ht="14.4" customHeight="1" x14ac:dyDescent="0.3">
      <c r="A9" s="67"/>
      <c r="B9" s="28" t="s">
        <v>8</v>
      </c>
    </row>
    <row r="10" spans="1:2" ht="15.6" x14ac:dyDescent="0.3">
      <c r="A10" s="67"/>
      <c r="B10" s="29" t="s">
        <v>9</v>
      </c>
    </row>
    <row r="11" spans="1:2" ht="15.6" x14ac:dyDescent="0.3">
      <c r="A11" s="67" t="s">
        <v>10</v>
      </c>
      <c r="B11" s="20" t="s">
        <v>79</v>
      </c>
    </row>
    <row r="12" spans="1:2" ht="15.6" x14ac:dyDescent="0.3">
      <c r="A12" s="67"/>
      <c r="B12" s="29" t="s">
        <v>11</v>
      </c>
    </row>
    <row r="13" spans="1:2" ht="18.600000000000001" customHeight="1" x14ac:dyDescent="0.3">
      <c r="A13" s="67"/>
      <c r="B13" s="25" t="s">
        <v>12</v>
      </c>
    </row>
    <row r="14" spans="1:2" ht="15.6" x14ac:dyDescent="0.3">
      <c r="A14" s="67"/>
      <c r="B14" s="29" t="s">
        <v>13</v>
      </c>
    </row>
    <row r="15" spans="1:2" ht="15.6" x14ac:dyDescent="0.3">
      <c r="A15" s="67"/>
      <c r="B15" s="29" t="s">
        <v>14</v>
      </c>
    </row>
    <row r="16" spans="1:2" ht="15.6" x14ac:dyDescent="0.3">
      <c r="A16" s="67"/>
      <c r="B16" s="29" t="s">
        <v>15</v>
      </c>
    </row>
    <row r="17" spans="1:2" ht="15.6" x14ac:dyDescent="0.3">
      <c r="A17" s="67"/>
      <c r="B17" s="29" t="s">
        <v>16</v>
      </c>
    </row>
    <row r="18" spans="1:2" ht="15.6" x14ac:dyDescent="0.3">
      <c r="A18" s="67"/>
      <c r="B18" s="29" t="s">
        <v>17</v>
      </c>
    </row>
    <row r="19" spans="1:2" ht="15.6" x14ac:dyDescent="0.3">
      <c r="A19" s="67"/>
      <c r="B19" s="29" t="s">
        <v>18</v>
      </c>
    </row>
    <row r="20" spans="1:2" ht="15.6" x14ac:dyDescent="0.3">
      <c r="A20" s="67"/>
      <c r="B20" s="29" t="s">
        <v>19</v>
      </c>
    </row>
    <row r="21" spans="1:2" ht="15.6" x14ac:dyDescent="0.3">
      <c r="A21" s="67"/>
      <c r="B21" s="29" t="s">
        <v>20</v>
      </c>
    </row>
    <row r="22" spans="1:2" ht="15.6" x14ac:dyDescent="0.3">
      <c r="A22" s="67"/>
      <c r="B22" s="29" t="s">
        <v>21</v>
      </c>
    </row>
    <row r="23" spans="1:2" ht="15.6" x14ac:dyDescent="0.3">
      <c r="A23" s="67"/>
      <c r="B23" s="29" t="s">
        <v>22</v>
      </c>
    </row>
    <row r="24" spans="1:2" ht="15.6" x14ac:dyDescent="0.3">
      <c r="A24" s="67" t="s">
        <v>25</v>
      </c>
      <c r="B24" s="29" t="s">
        <v>23</v>
      </c>
    </row>
    <row r="25" spans="1:2" ht="16.2" customHeight="1" x14ac:dyDescent="0.3">
      <c r="A25" s="67"/>
      <c r="B25" s="25" t="s">
        <v>24</v>
      </c>
    </row>
    <row r="26" spans="1:2" ht="15.6" x14ac:dyDescent="0.3">
      <c r="A26" s="67"/>
      <c r="B26" s="29" t="s">
        <v>80</v>
      </c>
    </row>
    <row r="27" spans="1:2" ht="15.6" x14ac:dyDescent="0.3">
      <c r="A27" s="67"/>
      <c r="B27" s="29" t="s">
        <v>26</v>
      </c>
    </row>
    <row r="28" spans="1:2" ht="15" customHeight="1" x14ac:dyDescent="0.3">
      <c r="A28" s="67" t="s">
        <v>29</v>
      </c>
      <c r="B28" s="25" t="s">
        <v>27</v>
      </c>
    </row>
    <row r="29" spans="1:2" ht="15.6" x14ac:dyDescent="0.3">
      <c r="A29" s="67"/>
      <c r="B29" s="29" t="s">
        <v>28</v>
      </c>
    </row>
    <row r="30" spans="1:2" ht="15.6" x14ac:dyDescent="0.3">
      <c r="A30" s="67"/>
      <c r="B30" s="29" t="s">
        <v>30</v>
      </c>
    </row>
    <row r="31" spans="1:2" ht="15.6" x14ac:dyDescent="0.3">
      <c r="A31" s="67"/>
      <c r="B31" s="29" t="s">
        <v>31</v>
      </c>
    </row>
    <row r="32" spans="1:2" ht="15.6" x14ac:dyDescent="0.3">
      <c r="A32" s="67" t="s">
        <v>34</v>
      </c>
      <c r="B32" s="29" t="s">
        <v>32</v>
      </c>
    </row>
    <row r="33" spans="1:2" ht="15.6" x14ac:dyDescent="0.3">
      <c r="A33" s="67"/>
      <c r="B33" s="29" t="s">
        <v>33</v>
      </c>
    </row>
    <row r="34" spans="1:2" ht="15.6" x14ac:dyDescent="0.3">
      <c r="A34" s="67"/>
      <c r="B34" s="29" t="s">
        <v>35</v>
      </c>
    </row>
    <row r="35" spans="1:2" x14ac:dyDescent="0.3">
      <c r="A35" s="3"/>
      <c r="B35" s="1"/>
    </row>
    <row r="36" spans="1:2" x14ac:dyDescent="0.3">
      <c r="A36" s="3"/>
      <c r="B36" s="1"/>
    </row>
  </sheetData>
  <mergeCells count="6">
    <mergeCell ref="A28:A31"/>
    <mergeCell ref="A32:A34"/>
    <mergeCell ref="A4:B4"/>
    <mergeCell ref="A6:A10"/>
    <mergeCell ref="A11:A23"/>
    <mergeCell ref="A24:A2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4ECD-52A0-44B5-A53E-01837A0396A2}">
  <sheetPr>
    <pageSetUpPr fitToPage="1"/>
  </sheetPr>
  <dimension ref="A1:F32"/>
  <sheetViews>
    <sheetView topLeftCell="A8" zoomScale="85" zoomScaleNormal="85" workbookViewId="0">
      <selection activeCell="B33" sqref="B33"/>
    </sheetView>
  </sheetViews>
  <sheetFormatPr defaultRowHeight="13.8" x14ac:dyDescent="0.25"/>
  <cols>
    <col min="1" max="1" width="14.5546875" style="4" customWidth="1"/>
    <col min="2" max="2" width="54.6640625" style="4" customWidth="1"/>
    <col min="3" max="3" width="11.77734375" style="4" customWidth="1"/>
    <col min="4" max="4" width="10.6640625" style="4" customWidth="1"/>
    <col min="5" max="5" width="11.21875" style="4" customWidth="1"/>
    <col min="6" max="6" width="11.109375" style="4" customWidth="1"/>
    <col min="7" max="16384" width="8.88671875" style="4"/>
  </cols>
  <sheetData>
    <row r="1" spans="1:6" ht="25.2" x14ac:dyDescent="0.25">
      <c r="A1" s="69" t="s">
        <v>99</v>
      </c>
      <c r="B1" s="70"/>
      <c r="C1" s="70"/>
      <c r="D1" s="70"/>
      <c r="E1" s="70"/>
      <c r="F1" s="70"/>
    </row>
    <row r="2" spans="1:6" ht="18" customHeight="1" x14ac:dyDescent="0.3">
      <c r="A2" s="12" t="s">
        <v>37</v>
      </c>
      <c r="B2" s="13" t="s">
        <v>38</v>
      </c>
      <c r="C2" s="14" t="s">
        <v>100</v>
      </c>
      <c r="D2" s="14" t="s">
        <v>101</v>
      </c>
      <c r="E2" s="14" t="s">
        <v>102</v>
      </c>
      <c r="F2" s="14" t="s">
        <v>103</v>
      </c>
    </row>
    <row r="3" spans="1:6" ht="18" customHeight="1" x14ac:dyDescent="0.3">
      <c r="A3" s="15">
        <v>1.1000000000000001</v>
      </c>
      <c r="B3" s="16" t="s">
        <v>39</v>
      </c>
      <c r="C3" s="17">
        <v>0.5</v>
      </c>
      <c r="D3" s="17">
        <v>1</v>
      </c>
      <c r="E3" s="17">
        <v>1.5</v>
      </c>
      <c r="F3" s="17">
        <f>(C3+4*D3+E3)/6</f>
        <v>1</v>
      </c>
    </row>
    <row r="4" spans="1:6" ht="15.6" x14ac:dyDescent="0.3">
      <c r="A4" s="15">
        <v>1.2</v>
      </c>
      <c r="B4" s="18" t="s">
        <v>40</v>
      </c>
      <c r="C4" s="17">
        <v>0.5</v>
      </c>
      <c r="D4" s="17">
        <v>1</v>
      </c>
      <c r="E4" s="17">
        <v>1.5</v>
      </c>
      <c r="F4" s="17">
        <f t="shared" ref="F4:F31" si="0">(C4+4*D4+E4)/6</f>
        <v>1</v>
      </c>
    </row>
    <row r="5" spans="1:6" ht="16.8" customHeight="1" x14ac:dyDescent="0.3">
      <c r="A5" s="15">
        <v>1.3</v>
      </c>
      <c r="B5" s="16" t="s">
        <v>41</v>
      </c>
      <c r="C5" s="17">
        <v>3</v>
      </c>
      <c r="D5" s="17">
        <v>4.5</v>
      </c>
      <c r="E5" s="17">
        <v>5</v>
      </c>
      <c r="F5" s="17">
        <f t="shared" si="0"/>
        <v>4.333333333333333</v>
      </c>
    </row>
    <row r="6" spans="1:6" ht="19.2" customHeight="1" x14ac:dyDescent="0.3">
      <c r="A6" s="15">
        <v>1.4</v>
      </c>
      <c r="B6" s="19" t="s">
        <v>42</v>
      </c>
      <c r="C6" s="17">
        <v>4</v>
      </c>
      <c r="D6" s="17">
        <v>5</v>
      </c>
      <c r="E6" s="17">
        <v>6</v>
      </c>
      <c r="F6" s="17">
        <f t="shared" si="0"/>
        <v>5</v>
      </c>
    </row>
    <row r="7" spans="1:6" ht="15.6" x14ac:dyDescent="0.3">
      <c r="A7" s="15">
        <v>1.5</v>
      </c>
      <c r="B7" s="20" t="s">
        <v>43</v>
      </c>
      <c r="C7" s="17">
        <v>0.5</v>
      </c>
      <c r="D7" s="17">
        <v>1</v>
      </c>
      <c r="E7" s="17">
        <v>1.25</v>
      </c>
      <c r="F7" s="17">
        <f t="shared" si="0"/>
        <v>0.95833333333333337</v>
      </c>
    </row>
    <row r="8" spans="1:6" ht="15.6" x14ac:dyDescent="0.3">
      <c r="A8" s="15">
        <v>2.1</v>
      </c>
      <c r="B8" s="20" t="s">
        <v>44</v>
      </c>
      <c r="C8" s="17">
        <v>1</v>
      </c>
      <c r="D8" s="17">
        <v>2</v>
      </c>
      <c r="E8" s="17">
        <v>4</v>
      </c>
      <c r="F8" s="17">
        <f t="shared" si="0"/>
        <v>2.1666666666666665</v>
      </c>
    </row>
    <row r="9" spans="1:6" ht="15.6" x14ac:dyDescent="0.3">
      <c r="A9" s="15">
        <v>2.2000000000000002</v>
      </c>
      <c r="B9" s="20" t="s">
        <v>76</v>
      </c>
      <c r="C9" s="17">
        <v>4</v>
      </c>
      <c r="D9" s="17">
        <v>5</v>
      </c>
      <c r="E9" s="17">
        <v>6</v>
      </c>
      <c r="F9" s="17">
        <f t="shared" si="0"/>
        <v>5</v>
      </c>
    </row>
    <row r="10" spans="1:6" ht="17.399999999999999" customHeight="1" x14ac:dyDescent="0.3">
      <c r="A10" s="15" t="s">
        <v>45</v>
      </c>
      <c r="B10" s="16" t="s">
        <v>46</v>
      </c>
      <c r="C10" s="17">
        <v>2</v>
      </c>
      <c r="D10" s="17">
        <v>3</v>
      </c>
      <c r="E10" s="17">
        <v>4</v>
      </c>
      <c r="F10" s="17">
        <f t="shared" si="0"/>
        <v>3</v>
      </c>
    </row>
    <row r="11" spans="1:6" ht="15.6" x14ac:dyDescent="0.3">
      <c r="A11" s="15" t="s">
        <v>47</v>
      </c>
      <c r="B11" s="20" t="s">
        <v>48</v>
      </c>
      <c r="C11" s="17">
        <v>1.5</v>
      </c>
      <c r="D11" s="17">
        <v>2</v>
      </c>
      <c r="E11" s="17">
        <v>3</v>
      </c>
      <c r="F11" s="17">
        <f t="shared" si="0"/>
        <v>2.0833333333333335</v>
      </c>
    </row>
    <row r="12" spans="1:6" ht="15.6" x14ac:dyDescent="0.3">
      <c r="A12" s="15" t="s">
        <v>49</v>
      </c>
      <c r="B12" s="20" t="s">
        <v>50</v>
      </c>
      <c r="C12" s="17">
        <v>2</v>
      </c>
      <c r="D12" s="17">
        <v>3</v>
      </c>
      <c r="E12" s="17">
        <v>4</v>
      </c>
      <c r="F12" s="17">
        <f t="shared" si="0"/>
        <v>3</v>
      </c>
    </row>
    <row r="13" spans="1:6" ht="15.6" x14ac:dyDescent="0.3">
      <c r="A13" s="15" t="s">
        <v>51</v>
      </c>
      <c r="B13" s="20" t="s">
        <v>52</v>
      </c>
      <c r="C13" s="17">
        <v>1.5</v>
      </c>
      <c r="D13" s="17">
        <v>2</v>
      </c>
      <c r="E13" s="17">
        <v>3</v>
      </c>
      <c r="F13" s="17">
        <f t="shared" si="0"/>
        <v>2.0833333333333335</v>
      </c>
    </row>
    <row r="14" spans="1:6" ht="15.6" x14ac:dyDescent="0.3">
      <c r="A14" s="15" t="s">
        <v>53</v>
      </c>
      <c r="B14" s="20" t="s">
        <v>54</v>
      </c>
      <c r="C14" s="17">
        <v>1</v>
      </c>
      <c r="D14" s="17">
        <v>2</v>
      </c>
      <c r="E14" s="17">
        <v>3</v>
      </c>
      <c r="F14" s="17">
        <f t="shared" si="0"/>
        <v>2</v>
      </c>
    </row>
    <row r="15" spans="1:6" ht="15.6" x14ac:dyDescent="0.3">
      <c r="A15" s="15">
        <v>2.2999999999999998</v>
      </c>
      <c r="B15" s="20" t="s">
        <v>55</v>
      </c>
      <c r="C15" s="17">
        <v>2</v>
      </c>
      <c r="D15" s="17">
        <v>3</v>
      </c>
      <c r="E15" s="17">
        <v>4</v>
      </c>
      <c r="F15" s="17">
        <f t="shared" si="0"/>
        <v>3</v>
      </c>
    </row>
    <row r="16" spans="1:6" ht="15.6" x14ac:dyDescent="0.3">
      <c r="A16" s="15" t="s">
        <v>56</v>
      </c>
      <c r="B16" s="20" t="s">
        <v>96</v>
      </c>
      <c r="C16" s="17">
        <v>1.5</v>
      </c>
      <c r="D16" s="17">
        <v>2</v>
      </c>
      <c r="E16" s="17">
        <v>2.25</v>
      </c>
      <c r="F16" s="17">
        <f t="shared" si="0"/>
        <v>1.9583333333333333</v>
      </c>
    </row>
    <row r="17" spans="1:6" ht="15.6" x14ac:dyDescent="0.3">
      <c r="A17" s="15" t="s">
        <v>58</v>
      </c>
      <c r="B17" s="20" t="s">
        <v>97</v>
      </c>
      <c r="C17" s="17">
        <v>3</v>
      </c>
      <c r="D17" s="17">
        <v>4</v>
      </c>
      <c r="E17" s="17">
        <v>5</v>
      </c>
      <c r="F17" s="17">
        <f t="shared" si="0"/>
        <v>4</v>
      </c>
    </row>
    <row r="18" spans="1:6" ht="15.6" x14ac:dyDescent="0.3">
      <c r="A18" s="15" t="s">
        <v>60</v>
      </c>
      <c r="B18" s="20" t="s">
        <v>61</v>
      </c>
      <c r="C18" s="17">
        <v>1.5</v>
      </c>
      <c r="D18" s="17">
        <v>2</v>
      </c>
      <c r="E18" s="17">
        <v>3</v>
      </c>
      <c r="F18" s="17">
        <f t="shared" si="0"/>
        <v>2.0833333333333335</v>
      </c>
    </row>
    <row r="19" spans="1:6" ht="15.6" x14ac:dyDescent="0.3">
      <c r="A19" s="15" t="s">
        <v>62</v>
      </c>
      <c r="B19" s="20" t="s">
        <v>63</v>
      </c>
      <c r="C19" s="17">
        <v>4</v>
      </c>
      <c r="D19" s="17">
        <v>5</v>
      </c>
      <c r="E19" s="17">
        <v>6.5</v>
      </c>
      <c r="F19" s="17">
        <f t="shared" si="0"/>
        <v>5.083333333333333</v>
      </c>
    </row>
    <row r="20" spans="1:6" ht="15.6" x14ac:dyDescent="0.3">
      <c r="A20" s="15">
        <v>2.4</v>
      </c>
      <c r="B20" s="20" t="s">
        <v>64</v>
      </c>
      <c r="C20" s="17">
        <v>1.5</v>
      </c>
      <c r="D20" s="17">
        <v>2</v>
      </c>
      <c r="E20" s="17">
        <v>2.5</v>
      </c>
      <c r="F20" s="17">
        <f t="shared" si="0"/>
        <v>2</v>
      </c>
    </row>
    <row r="21" spans="1:6" ht="15.6" x14ac:dyDescent="0.3">
      <c r="A21" s="15">
        <v>3.1</v>
      </c>
      <c r="B21" s="20" t="s">
        <v>65</v>
      </c>
      <c r="C21" s="17">
        <v>0.5</v>
      </c>
      <c r="D21" s="17">
        <v>1</v>
      </c>
      <c r="E21" s="17">
        <v>2</v>
      </c>
      <c r="F21" s="17">
        <f t="shared" si="0"/>
        <v>1.0833333333333333</v>
      </c>
    </row>
    <row r="22" spans="1:6" ht="19.2" customHeight="1" x14ac:dyDescent="0.3">
      <c r="A22" s="15">
        <v>3.2</v>
      </c>
      <c r="B22" s="16" t="s">
        <v>66</v>
      </c>
      <c r="C22" s="17">
        <v>0.5</v>
      </c>
      <c r="D22" s="17">
        <v>1</v>
      </c>
      <c r="E22" s="17">
        <v>2</v>
      </c>
      <c r="F22" s="17">
        <f t="shared" si="0"/>
        <v>1.0833333333333333</v>
      </c>
    </row>
    <row r="23" spans="1:6" ht="15.6" x14ac:dyDescent="0.3">
      <c r="A23" s="15">
        <v>3.3</v>
      </c>
      <c r="B23" s="20" t="s">
        <v>77</v>
      </c>
      <c r="C23" s="17">
        <v>1</v>
      </c>
      <c r="D23" s="17">
        <v>2</v>
      </c>
      <c r="E23" s="17">
        <v>3</v>
      </c>
      <c r="F23" s="17">
        <f t="shared" si="0"/>
        <v>2</v>
      </c>
    </row>
    <row r="24" spans="1:6" ht="15.6" x14ac:dyDescent="0.3">
      <c r="A24" s="15">
        <v>3.4</v>
      </c>
      <c r="B24" s="20" t="s">
        <v>67</v>
      </c>
      <c r="C24" s="17">
        <v>1.5</v>
      </c>
      <c r="D24" s="17">
        <v>2</v>
      </c>
      <c r="E24" s="17">
        <v>5</v>
      </c>
      <c r="F24" s="17">
        <f t="shared" si="0"/>
        <v>2.4166666666666665</v>
      </c>
    </row>
    <row r="25" spans="1:6" ht="17.399999999999999" customHeight="1" x14ac:dyDescent="0.3">
      <c r="A25" s="15">
        <v>4.0999999999999996</v>
      </c>
      <c r="B25" s="16" t="s">
        <v>68</v>
      </c>
      <c r="C25" s="17">
        <v>1.5</v>
      </c>
      <c r="D25" s="17">
        <v>2</v>
      </c>
      <c r="E25" s="17">
        <v>3</v>
      </c>
      <c r="F25" s="17">
        <f t="shared" si="0"/>
        <v>2.0833333333333335</v>
      </c>
    </row>
    <row r="26" spans="1:6" ht="15.6" x14ac:dyDescent="0.3">
      <c r="A26" s="15">
        <v>4.2</v>
      </c>
      <c r="B26" s="20" t="s">
        <v>69</v>
      </c>
      <c r="C26" s="17">
        <v>0.5</v>
      </c>
      <c r="D26" s="17">
        <v>1</v>
      </c>
      <c r="E26" s="17">
        <v>2</v>
      </c>
      <c r="F26" s="17">
        <f t="shared" si="0"/>
        <v>1.0833333333333333</v>
      </c>
    </row>
    <row r="27" spans="1:6" ht="15.6" x14ac:dyDescent="0.3">
      <c r="A27" s="15">
        <v>4.3</v>
      </c>
      <c r="B27" s="20" t="s">
        <v>70</v>
      </c>
      <c r="C27" s="17">
        <v>2</v>
      </c>
      <c r="D27" s="17">
        <v>3</v>
      </c>
      <c r="E27" s="17">
        <v>4</v>
      </c>
      <c r="F27" s="17">
        <f t="shared" si="0"/>
        <v>3</v>
      </c>
    </row>
    <row r="28" spans="1:6" ht="15.6" x14ac:dyDescent="0.3">
      <c r="A28" s="15">
        <v>4.4000000000000004</v>
      </c>
      <c r="B28" s="20" t="s">
        <v>71</v>
      </c>
      <c r="C28" s="17">
        <v>1</v>
      </c>
      <c r="D28" s="17">
        <v>1.5</v>
      </c>
      <c r="E28" s="17">
        <v>2</v>
      </c>
      <c r="F28" s="17">
        <f t="shared" si="0"/>
        <v>1.5</v>
      </c>
    </row>
    <row r="29" spans="1:6" ht="15.6" x14ac:dyDescent="0.3">
      <c r="A29" s="15">
        <v>5.0999999999999996</v>
      </c>
      <c r="B29" s="20" t="s">
        <v>72</v>
      </c>
      <c r="C29" s="17">
        <v>3</v>
      </c>
      <c r="D29" s="17">
        <v>5</v>
      </c>
      <c r="E29" s="17">
        <v>7</v>
      </c>
      <c r="F29" s="17">
        <f t="shared" si="0"/>
        <v>5</v>
      </c>
    </row>
    <row r="30" spans="1:6" ht="15.6" x14ac:dyDescent="0.3">
      <c r="A30" s="15">
        <v>5.2</v>
      </c>
      <c r="B30" s="20" t="s">
        <v>73</v>
      </c>
      <c r="C30" s="17">
        <v>4</v>
      </c>
      <c r="D30" s="17">
        <v>5</v>
      </c>
      <c r="E30" s="17">
        <v>6</v>
      </c>
      <c r="F30" s="17">
        <f t="shared" si="0"/>
        <v>5</v>
      </c>
    </row>
    <row r="31" spans="1:6" ht="15.6" x14ac:dyDescent="0.3">
      <c r="A31" s="15">
        <v>5.3</v>
      </c>
      <c r="B31" s="20" t="s">
        <v>74</v>
      </c>
      <c r="C31" s="17">
        <v>2</v>
      </c>
      <c r="D31" s="17">
        <v>4</v>
      </c>
      <c r="E31" s="17">
        <v>6</v>
      </c>
      <c r="F31" s="17">
        <f t="shared" si="0"/>
        <v>4</v>
      </c>
    </row>
    <row r="32" spans="1:6" ht="15.6" x14ac:dyDescent="0.3">
      <c r="A32" s="71" t="s">
        <v>75</v>
      </c>
      <c r="B32" s="72"/>
      <c r="C32" s="21">
        <f>SUM(C3:C31)</f>
        <v>52.5</v>
      </c>
      <c r="D32" s="21">
        <f>SUM(D3:D31)</f>
        <v>77</v>
      </c>
      <c r="E32" s="21">
        <f>SUM(E3:E31)</f>
        <v>107.5</v>
      </c>
      <c r="F32" s="22">
        <f>SUM(F3:F31)</f>
        <v>78.000000000000014</v>
      </c>
    </row>
  </sheetData>
  <mergeCells count="2">
    <mergeCell ref="A1:F1"/>
    <mergeCell ref="A32:B32"/>
  </mergeCells>
  <pageMargins left="0.7" right="0.7" top="0.75" bottom="0.75" header="0.3" footer="0.3"/>
  <pageSetup paperSize="9" scale="76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79D48-6075-4458-98A6-8E2C1E78EFB7}">
  <dimension ref="A1:M34"/>
  <sheetViews>
    <sheetView zoomScale="85" zoomScaleNormal="85" workbookViewId="0">
      <selection sqref="A1:J1"/>
    </sheetView>
  </sheetViews>
  <sheetFormatPr defaultRowHeight="14.4" x14ac:dyDescent="0.3"/>
  <cols>
    <col min="1" max="1" width="23.21875" style="7" customWidth="1"/>
    <col min="2" max="2" width="10.6640625" customWidth="1"/>
    <col min="3" max="3" width="55.21875" customWidth="1"/>
    <col min="4" max="4" width="16.109375" customWidth="1"/>
    <col min="5" max="5" width="10.33203125" bestFit="1" customWidth="1"/>
    <col min="6" max="7" width="11.44140625" customWidth="1"/>
    <col min="8" max="8" width="10.109375" customWidth="1"/>
    <col min="9" max="9" width="15.33203125" customWidth="1"/>
    <col min="13" max="13" width="15.77734375" customWidth="1"/>
  </cols>
  <sheetData>
    <row r="1" spans="1:13" ht="61.2" customHeight="1" x14ac:dyDescent="0.3">
      <c r="A1" s="73" t="str">
        <f>UPPER("Bảng chi phí cho mỗi công việc trong dự án Quản lý phòng Gym")</f>
        <v>BẢNG CHI PHÍ CHO MỖI CÔNG VIỆC TRONG DỰ ÁN QUẢN LÝ PHÒNG GYM</v>
      </c>
      <c r="B1" s="74"/>
      <c r="C1" s="74"/>
      <c r="D1" s="74"/>
      <c r="E1" s="74"/>
      <c r="F1" s="74"/>
      <c r="G1" s="74"/>
      <c r="H1" s="74"/>
      <c r="I1" s="74"/>
      <c r="J1" s="74"/>
      <c r="K1" s="8"/>
      <c r="L1" s="8"/>
      <c r="M1" s="6"/>
    </row>
    <row r="2" spans="1:13" s="5" customFormat="1" ht="30.6" customHeight="1" x14ac:dyDescent="0.3">
      <c r="A2" s="23"/>
      <c r="B2" s="30" t="s">
        <v>81</v>
      </c>
      <c r="C2" s="30" t="s">
        <v>82</v>
      </c>
      <c r="D2" s="30" t="s">
        <v>118</v>
      </c>
      <c r="E2" s="30" t="s">
        <v>83</v>
      </c>
      <c r="F2" s="30" t="s">
        <v>84</v>
      </c>
      <c r="G2" s="30" t="s">
        <v>85</v>
      </c>
      <c r="H2" s="30" t="s">
        <v>86</v>
      </c>
      <c r="I2" s="30" t="s">
        <v>87</v>
      </c>
      <c r="J2" s="23" t="s">
        <v>119</v>
      </c>
      <c r="K2" s="2"/>
      <c r="L2" s="2"/>
    </row>
    <row r="3" spans="1:13" ht="19.2" customHeight="1" x14ac:dyDescent="0.3">
      <c r="A3" s="67" t="s">
        <v>88</v>
      </c>
      <c r="B3" s="31">
        <v>1.1000000000000001</v>
      </c>
      <c r="C3" s="32" t="s">
        <v>92</v>
      </c>
      <c r="D3" s="33">
        <v>500000</v>
      </c>
      <c r="E3" s="34">
        <v>0</v>
      </c>
      <c r="F3" s="33">
        <v>100000</v>
      </c>
      <c r="G3" s="34">
        <v>0</v>
      </c>
      <c r="H3" s="33">
        <v>50000</v>
      </c>
      <c r="I3" s="33">
        <f>SUM(D3+E3+F3+G3+H3)</f>
        <v>650000</v>
      </c>
      <c r="J3" s="29"/>
      <c r="K3" s="4"/>
      <c r="L3" s="4"/>
    </row>
    <row r="4" spans="1:13" ht="15.6" x14ac:dyDescent="0.3">
      <c r="A4" s="67"/>
      <c r="B4" s="31">
        <v>1.2</v>
      </c>
      <c r="C4" s="35" t="s">
        <v>40</v>
      </c>
      <c r="D4" s="33">
        <v>700000</v>
      </c>
      <c r="E4" s="29">
        <v>0</v>
      </c>
      <c r="F4" s="36">
        <v>50000</v>
      </c>
      <c r="G4" s="29">
        <v>0</v>
      </c>
      <c r="H4" s="29">
        <v>0</v>
      </c>
      <c r="I4" s="33">
        <f t="shared" ref="I4:I31" si="0">SUM(D4+E4+F4+G4+H4)</f>
        <v>750000</v>
      </c>
      <c r="J4" s="29"/>
      <c r="K4" s="4"/>
      <c r="L4" s="4"/>
    </row>
    <row r="5" spans="1:13" ht="18.600000000000001" customHeight="1" x14ac:dyDescent="0.3">
      <c r="A5" s="67"/>
      <c r="B5" s="31">
        <v>1.3</v>
      </c>
      <c r="C5" s="37" t="s">
        <v>41</v>
      </c>
      <c r="D5" s="33">
        <v>1100000</v>
      </c>
      <c r="E5" s="36">
        <v>200000</v>
      </c>
      <c r="F5" s="29">
        <v>0</v>
      </c>
      <c r="G5" s="29">
        <v>0</v>
      </c>
      <c r="H5" s="29">
        <v>0</v>
      </c>
      <c r="I5" s="33">
        <f t="shared" si="0"/>
        <v>1300000</v>
      </c>
      <c r="J5" s="29"/>
      <c r="K5" s="4"/>
      <c r="L5" s="4"/>
    </row>
    <row r="6" spans="1:13" ht="18" customHeight="1" x14ac:dyDescent="0.3">
      <c r="A6" s="67"/>
      <c r="B6" s="31">
        <v>1.4</v>
      </c>
      <c r="C6" s="38" t="s">
        <v>42</v>
      </c>
      <c r="D6" s="33">
        <v>1000000</v>
      </c>
      <c r="E6" s="36">
        <v>200000</v>
      </c>
      <c r="F6" s="29">
        <v>0</v>
      </c>
      <c r="G6" s="29">
        <v>0</v>
      </c>
      <c r="H6" s="29">
        <v>0</v>
      </c>
      <c r="I6" s="33">
        <f t="shared" si="0"/>
        <v>1200000</v>
      </c>
      <c r="J6" s="29"/>
      <c r="K6" s="4"/>
      <c r="L6" s="4"/>
    </row>
    <row r="7" spans="1:13" ht="15.6" x14ac:dyDescent="0.3">
      <c r="A7" s="67"/>
      <c r="B7" s="31">
        <v>1.5</v>
      </c>
      <c r="C7" s="39" t="s">
        <v>43</v>
      </c>
      <c r="D7" s="33">
        <v>400000</v>
      </c>
      <c r="E7" s="29">
        <v>0</v>
      </c>
      <c r="F7" s="29">
        <v>0</v>
      </c>
      <c r="G7" s="29">
        <v>0</v>
      </c>
      <c r="H7" s="29">
        <v>0</v>
      </c>
      <c r="I7" s="33">
        <f t="shared" si="0"/>
        <v>400000</v>
      </c>
      <c r="J7" s="29"/>
      <c r="K7" s="4"/>
      <c r="L7" s="4"/>
    </row>
    <row r="8" spans="1:13" ht="15.6" x14ac:dyDescent="0.3">
      <c r="A8" s="67" t="s">
        <v>89</v>
      </c>
      <c r="B8" s="31">
        <v>2.1</v>
      </c>
      <c r="C8" s="39" t="s">
        <v>44</v>
      </c>
      <c r="D8" s="33">
        <v>1000000</v>
      </c>
      <c r="E8" s="36">
        <v>300000</v>
      </c>
      <c r="F8" s="29">
        <v>0</v>
      </c>
      <c r="G8" s="29">
        <v>0</v>
      </c>
      <c r="H8" s="29">
        <v>0</v>
      </c>
      <c r="I8" s="33">
        <f t="shared" si="0"/>
        <v>1300000</v>
      </c>
      <c r="J8" s="29"/>
      <c r="K8" s="4"/>
      <c r="L8" s="4"/>
    </row>
    <row r="9" spans="1:13" ht="15.6" x14ac:dyDescent="0.3">
      <c r="A9" s="67"/>
      <c r="B9" s="31">
        <v>2.2000000000000002</v>
      </c>
      <c r="C9" s="39" t="s">
        <v>94</v>
      </c>
      <c r="D9" s="33">
        <v>3250000</v>
      </c>
      <c r="E9" s="29">
        <v>0</v>
      </c>
      <c r="F9" s="29">
        <v>0</v>
      </c>
      <c r="G9" s="29">
        <v>0</v>
      </c>
      <c r="H9" s="29">
        <v>0</v>
      </c>
      <c r="I9" s="33">
        <f t="shared" si="0"/>
        <v>3250000</v>
      </c>
      <c r="J9" s="29"/>
      <c r="K9" s="4"/>
      <c r="L9" s="4"/>
    </row>
    <row r="10" spans="1:13" ht="17.399999999999999" customHeight="1" x14ac:dyDescent="0.3">
      <c r="A10" s="67"/>
      <c r="B10" s="31" t="s">
        <v>45</v>
      </c>
      <c r="C10" s="37" t="s">
        <v>46</v>
      </c>
      <c r="D10" s="33">
        <v>800000</v>
      </c>
      <c r="E10" s="29">
        <v>0</v>
      </c>
      <c r="F10" s="29">
        <v>0</v>
      </c>
      <c r="G10" s="29">
        <v>0</v>
      </c>
      <c r="H10" s="29">
        <v>0</v>
      </c>
      <c r="I10" s="33">
        <f t="shared" si="0"/>
        <v>800000</v>
      </c>
      <c r="J10" s="29"/>
      <c r="K10" s="4"/>
      <c r="L10" s="4"/>
    </row>
    <row r="11" spans="1:13" ht="15.6" x14ac:dyDescent="0.3">
      <c r="A11" s="67"/>
      <c r="B11" s="31" t="s">
        <v>47</v>
      </c>
      <c r="C11" s="39" t="s">
        <v>48</v>
      </c>
      <c r="D11" s="33">
        <v>1750000</v>
      </c>
      <c r="E11" s="29">
        <v>0</v>
      </c>
      <c r="F11" s="29">
        <v>0</v>
      </c>
      <c r="G11" s="29">
        <v>0</v>
      </c>
      <c r="H11" s="29">
        <v>0</v>
      </c>
      <c r="I11" s="33">
        <f t="shared" si="0"/>
        <v>1750000</v>
      </c>
      <c r="J11" s="29"/>
      <c r="K11" s="4"/>
      <c r="L11" s="4"/>
    </row>
    <row r="12" spans="1:13" ht="15.6" x14ac:dyDescent="0.3">
      <c r="A12" s="67"/>
      <c r="B12" s="31" t="s">
        <v>49</v>
      </c>
      <c r="C12" s="39" t="s">
        <v>50</v>
      </c>
      <c r="D12" s="33">
        <v>1800000</v>
      </c>
      <c r="E12" s="29">
        <v>0</v>
      </c>
      <c r="F12" s="29">
        <v>0</v>
      </c>
      <c r="G12" s="29">
        <v>0</v>
      </c>
      <c r="H12" s="29">
        <v>0</v>
      </c>
      <c r="I12" s="33">
        <f t="shared" si="0"/>
        <v>1800000</v>
      </c>
      <c r="J12" s="29"/>
      <c r="K12" s="4"/>
      <c r="L12" s="4"/>
    </row>
    <row r="13" spans="1:13" ht="15.6" x14ac:dyDescent="0.3">
      <c r="A13" s="67"/>
      <c r="B13" s="31" t="s">
        <v>51</v>
      </c>
      <c r="C13" s="39" t="s">
        <v>98</v>
      </c>
      <c r="D13" s="33">
        <v>1650000</v>
      </c>
      <c r="E13" s="29">
        <v>0</v>
      </c>
      <c r="F13" s="29">
        <v>0</v>
      </c>
      <c r="G13" s="29">
        <v>0</v>
      </c>
      <c r="H13" s="29">
        <v>0</v>
      </c>
      <c r="I13" s="33">
        <f t="shared" si="0"/>
        <v>1650000</v>
      </c>
      <c r="J13" s="29"/>
      <c r="K13" s="4"/>
      <c r="L13" s="4"/>
    </row>
    <row r="14" spans="1:13" ht="15.6" x14ac:dyDescent="0.3">
      <c r="A14" s="67"/>
      <c r="B14" s="31" t="s">
        <v>53</v>
      </c>
      <c r="C14" s="39" t="s">
        <v>54</v>
      </c>
      <c r="D14" s="33">
        <v>1400000</v>
      </c>
      <c r="E14" s="29">
        <v>0</v>
      </c>
      <c r="F14" s="29">
        <v>0</v>
      </c>
      <c r="G14" s="29">
        <v>0</v>
      </c>
      <c r="H14" s="29">
        <v>0</v>
      </c>
      <c r="I14" s="33">
        <f t="shared" si="0"/>
        <v>1400000</v>
      </c>
      <c r="J14" s="29"/>
      <c r="K14" s="4"/>
      <c r="L14" s="4"/>
    </row>
    <row r="15" spans="1:13" ht="15.6" x14ac:dyDescent="0.3">
      <c r="A15" s="67"/>
      <c r="B15" s="31">
        <v>2.2999999999999998</v>
      </c>
      <c r="C15" s="39" t="s">
        <v>55</v>
      </c>
      <c r="D15" s="33">
        <v>1950000</v>
      </c>
      <c r="E15" s="29">
        <v>0</v>
      </c>
      <c r="F15" s="29">
        <v>0</v>
      </c>
      <c r="G15" s="29">
        <v>0</v>
      </c>
      <c r="H15" s="29">
        <v>0</v>
      </c>
      <c r="I15" s="33">
        <f t="shared" si="0"/>
        <v>1950000</v>
      </c>
      <c r="J15" s="29"/>
      <c r="K15" s="4"/>
      <c r="L15" s="4"/>
    </row>
    <row r="16" spans="1:13" ht="15.6" x14ac:dyDescent="0.3">
      <c r="A16" s="67"/>
      <c r="B16" s="31" t="s">
        <v>56</v>
      </c>
      <c r="C16" s="39" t="s">
        <v>57</v>
      </c>
      <c r="D16" s="33">
        <v>1300000</v>
      </c>
      <c r="E16" s="36">
        <v>200000</v>
      </c>
      <c r="F16" s="29">
        <v>0</v>
      </c>
      <c r="G16" s="29">
        <v>0</v>
      </c>
      <c r="H16" s="29">
        <v>0</v>
      </c>
      <c r="I16" s="33">
        <f t="shared" si="0"/>
        <v>1500000</v>
      </c>
      <c r="J16" s="29"/>
      <c r="K16" s="4"/>
      <c r="L16" s="4"/>
    </row>
    <row r="17" spans="1:12" ht="15.6" x14ac:dyDescent="0.3">
      <c r="A17" s="67"/>
      <c r="B17" s="31" t="s">
        <v>58</v>
      </c>
      <c r="C17" s="39" t="s">
        <v>59</v>
      </c>
      <c r="D17" s="33">
        <v>1150000</v>
      </c>
      <c r="E17" s="29">
        <v>0</v>
      </c>
      <c r="F17" s="29">
        <v>0</v>
      </c>
      <c r="G17" s="29">
        <v>0</v>
      </c>
      <c r="H17" s="29">
        <v>0</v>
      </c>
      <c r="I17" s="33">
        <f t="shared" si="0"/>
        <v>1150000</v>
      </c>
      <c r="J17" s="29"/>
      <c r="K17" s="4"/>
      <c r="L17" s="4"/>
    </row>
    <row r="18" spans="1:12" ht="15.6" x14ac:dyDescent="0.3">
      <c r="A18" s="67"/>
      <c r="B18" s="31" t="s">
        <v>60</v>
      </c>
      <c r="C18" s="39" t="s">
        <v>61</v>
      </c>
      <c r="D18" s="33">
        <v>1500000</v>
      </c>
      <c r="E18" s="36">
        <v>300000</v>
      </c>
      <c r="F18" s="29">
        <v>0</v>
      </c>
      <c r="G18" s="29">
        <v>0</v>
      </c>
      <c r="H18" s="29">
        <v>0</v>
      </c>
      <c r="I18" s="33">
        <f t="shared" si="0"/>
        <v>1800000</v>
      </c>
      <c r="J18" s="29"/>
      <c r="K18" s="4"/>
      <c r="L18" s="4"/>
    </row>
    <row r="19" spans="1:12" ht="15.6" x14ac:dyDescent="0.3">
      <c r="A19" s="67"/>
      <c r="B19" s="31" t="s">
        <v>62</v>
      </c>
      <c r="C19" s="39" t="s">
        <v>63</v>
      </c>
      <c r="D19" s="33">
        <v>800000</v>
      </c>
      <c r="E19" s="29">
        <v>0</v>
      </c>
      <c r="F19" s="29">
        <v>0</v>
      </c>
      <c r="G19" s="29">
        <v>0</v>
      </c>
      <c r="H19" s="29">
        <v>0</v>
      </c>
      <c r="I19" s="33">
        <f t="shared" si="0"/>
        <v>800000</v>
      </c>
      <c r="J19" s="29"/>
      <c r="K19" s="4"/>
      <c r="L19" s="4"/>
    </row>
    <row r="20" spans="1:12" ht="15.6" x14ac:dyDescent="0.3">
      <c r="A20" s="67"/>
      <c r="B20" s="31">
        <v>2.4</v>
      </c>
      <c r="C20" s="39" t="s">
        <v>64</v>
      </c>
      <c r="D20" s="33">
        <v>700000</v>
      </c>
      <c r="E20" s="29">
        <v>0</v>
      </c>
      <c r="F20" s="29">
        <v>0</v>
      </c>
      <c r="G20" s="29">
        <v>0</v>
      </c>
      <c r="H20" s="29">
        <v>0</v>
      </c>
      <c r="I20" s="33">
        <f t="shared" si="0"/>
        <v>700000</v>
      </c>
      <c r="J20" s="29"/>
      <c r="K20" s="4"/>
      <c r="L20" s="4"/>
    </row>
    <row r="21" spans="1:12" ht="15.6" x14ac:dyDescent="0.3">
      <c r="A21" s="75" t="s">
        <v>90</v>
      </c>
      <c r="B21" s="31">
        <v>3.1</v>
      </c>
      <c r="C21" s="39" t="s">
        <v>65</v>
      </c>
      <c r="D21" s="33">
        <v>950000</v>
      </c>
      <c r="E21" s="29">
        <v>0</v>
      </c>
      <c r="F21" s="29">
        <v>0</v>
      </c>
      <c r="G21" s="29">
        <v>0</v>
      </c>
      <c r="H21" s="29">
        <v>0</v>
      </c>
      <c r="I21" s="33">
        <f t="shared" si="0"/>
        <v>950000</v>
      </c>
      <c r="J21" s="29"/>
      <c r="K21" s="4"/>
      <c r="L21" s="4"/>
    </row>
    <row r="22" spans="1:12" ht="15.6" x14ac:dyDescent="0.3">
      <c r="A22" s="75"/>
      <c r="B22" s="31">
        <v>3.2</v>
      </c>
      <c r="C22" s="37" t="s">
        <v>66</v>
      </c>
      <c r="D22" s="33">
        <v>600000</v>
      </c>
      <c r="E22" s="29">
        <v>0</v>
      </c>
      <c r="F22" s="29">
        <v>0</v>
      </c>
      <c r="G22" s="29">
        <v>0</v>
      </c>
      <c r="H22" s="29">
        <v>0</v>
      </c>
      <c r="I22" s="33">
        <f t="shared" si="0"/>
        <v>600000</v>
      </c>
      <c r="J22" s="29"/>
      <c r="K22" s="4"/>
      <c r="L22" s="4"/>
    </row>
    <row r="23" spans="1:12" ht="15.6" x14ac:dyDescent="0.3">
      <c r="A23" s="75"/>
      <c r="B23" s="31">
        <v>3.3</v>
      </c>
      <c r="C23" s="39" t="s">
        <v>77</v>
      </c>
      <c r="D23" s="33">
        <v>600000</v>
      </c>
      <c r="E23" s="29">
        <v>0</v>
      </c>
      <c r="F23" s="29">
        <v>0</v>
      </c>
      <c r="G23" s="29">
        <v>0</v>
      </c>
      <c r="H23" s="29">
        <v>0</v>
      </c>
      <c r="I23" s="33">
        <f t="shared" si="0"/>
        <v>600000</v>
      </c>
      <c r="J23" s="29"/>
      <c r="K23" s="4"/>
      <c r="L23" s="4"/>
    </row>
    <row r="24" spans="1:12" ht="15.6" x14ac:dyDescent="0.3">
      <c r="A24" s="75"/>
      <c r="B24" s="31">
        <v>3.4</v>
      </c>
      <c r="C24" s="39" t="s">
        <v>67</v>
      </c>
      <c r="D24" s="33">
        <v>900000</v>
      </c>
      <c r="E24" s="29">
        <v>0</v>
      </c>
      <c r="F24" s="29">
        <v>0</v>
      </c>
      <c r="G24" s="29">
        <v>0</v>
      </c>
      <c r="H24" s="29">
        <v>0</v>
      </c>
      <c r="I24" s="33">
        <f t="shared" si="0"/>
        <v>900000</v>
      </c>
      <c r="J24" s="29"/>
      <c r="K24" s="4"/>
      <c r="L24" s="4"/>
    </row>
    <row r="25" spans="1:12" ht="18.600000000000001" customHeight="1" x14ac:dyDescent="0.3">
      <c r="A25" s="67" t="s">
        <v>29</v>
      </c>
      <c r="B25" s="31">
        <v>4.0999999999999996</v>
      </c>
      <c r="C25" s="37" t="s">
        <v>93</v>
      </c>
      <c r="D25" s="33">
        <v>800000</v>
      </c>
      <c r="E25" s="40">
        <v>0</v>
      </c>
      <c r="F25" s="29">
        <v>0</v>
      </c>
      <c r="G25" s="29">
        <v>0</v>
      </c>
      <c r="H25" s="36">
        <v>500000</v>
      </c>
      <c r="I25" s="33">
        <f t="shared" si="0"/>
        <v>1300000</v>
      </c>
      <c r="J25" s="29"/>
      <c r="K25" s="4"/>
      <c r="L25" s="4"/>
    </row>
    <row r="26" spans="1:12" ht="15.6" x14ac:dyDescent="0.3">
      <c r="A26" s="67"/>
      <c r="B26" s="31">
        <v>4.2</v>
      </c>
      <c r="C26" s="39" t="s">
        <v>69</v>
      </c>
      <c r="D26" s="33">
        <v>650000</v>
      </c>
      <c r="E26" s="29">
        <v>0</v>
      </c>
      <c r="F26" s="29">
        <v>0</v>
      </c>
      <c r="G26" s="29">
        <v>0</v>
      </c>
      <c r="H26" s="36">
        <v>200000</v>
      </c>
      <c r="I26" s="33">
        <f t="shared" si="0"/>
        <v>850000</v>
      </c>
      <c r="J26" s="29"/>
      <c r="K26" s="4"/>
      <c r="L26" s="4"/>
    </row>
    <row r="27" spans="1:12" ht="15.6" x14ac:dyDescent="0.3">
      <c r="A27" s="67"/>
      <c r="B27" s="31">
        <v>4.3</v>
      </c>
      <c r="C27" s="39" t="s">
        <v>70</v>
      </c>
      <c r="D27" s="33">
        <v>400000</v>
      </c>
      <c r="E27" s="29">
        <v>0</v>
      </c>
      <c r="F27" s="36">
        <v>100000</v>
      </c>
      <c r="G27" s="29">
        <v>0</v>
      </c>
      <c r="H27" s="29">
        <v>0</v>
      </c>
      <c r="I27" s="33">
        <f t="shared" si="0"/>
        <v>500000</v>
      </c>
      <c r="J27" s="29"/>
      <c r="K27" s="4"/>
      <c r="L27" s="4"/>
    </row>
    <row r="28" spans="1:12" ht="15.6" x14ac:dyDescent="0.3">
      <c r="A28" s="67"/>
      <c r="B28" s="31">
        <v>4.4000000000000004</v>
      </c>
      <c r="C28" s="39" t="s">
        <v>71</v>
      </c>
      <c r="D28" s="33">
        <v>300000</v>
      </c>
      <c r="E28" s="29">
        <v>0</v>
      </c>
      <c r="F28" s="29">
        <v>0</v>
      </c>
      <c r="G28" s="36">
        <v>300000</v>
      </c>
      <c r="H28" s="29">
        <v>0</v>
      </c>
      <c r="I28" s="33">
        <f t="shared" si="0"/>
        <v>600000</v>
      </c>
      <c r="J28" s="29"/>
      <c r="K28" s="4"/>
      <c r="L28" s="4"/>
    </row>
    <row r="29" spans="1:12" ht="15.6" x14ac:dyDescent="0.3">
      <c r="A29" s="67" t="s">
        <v>91</v>
      </c>
      <c r="B29" s="31">
        <v>5.0999999999999996</v>
      </c>
      <c r="C29" s="39" t="s">
        <v>72</v>
      </c>
      <c r="D29" s="33">
        <v>500000</v>
      </c>
      <c r="E29" s="29">
        <v>0</v>
      </c>
      <c r="F29" s="29">
        <v>0</v>
      </c>
      <c r="G29" s="29">
        <v>0</v>
      </c>
      <c r="H29" s="36">
        <v>300000</v>
      </c>
      <c r="I29" s="33">
        <f t="shared" si="0"/>
        <v>800000</v>
      </c>
      <c r="J29" s="29"/>
      <c r="K29" s="4"/>
      <c r="L29" s="4"/>
    </row>
    <row r="30" spans="1:12" ht="15.6" x14ac:dyDescent="0.3">
      <c r="A30" s="67"/>
      <c r="B30" s="31">
        <v>5.2</v>
      </c>
      <c r="C30" s="39" t="s">
        <v>73</v>
      </c>
      <c r="D30" s="33">
        <v>400000</v>
      </c>
      <c r="E30" s="41">
        <v>0</v>
      </c>
      <c r="F30" s="29">
        <v>0</v>
      </c>
      <c r="G30" s="29">
        <v>0</v>
      </c>
      <c r="H30" s="36">
        <v>200000</v>
      </c>
      <c r="I30" s="33">
        <f t="shared" si="0"/>
        <v>600000</v>
      </c>
      <c r="J30" s="29"/>
      <c r="K30" s="4"/>
      <c r="L30" s="4"/>
    </row>
    <row r="31" spans="1:12" ht="15.6" x14ac:dyDescent="0.3">
      <c r="A31" s="67"/>
      <c r="B31" s="31">
        <v>5.3</v>
      </c>
      <c r="C31" s="39" t="s">
        <v>74</v>
      </c>
      <c r="D31" s="33">
        <v>700000</v>
      </c>
      <c r="E31" s="29">
        <v>0</v>
      </c>
      <c r="F31" s="29">
        <v>0</v>
      </c>
      <c r="G31" s="29">
        <v>0</v>
      </c>
      <c r="H31" s="36">
        <v>300000</v>
      </c>
      <c r="I31" s="33">
        <f t="shared" si="0"/>
        <v>1000000</v>
      </c>
      <c r="J31" s="29"/>
      <c r="K31" s="4"/>
      <c r="L31" s="4"/>
    </row>
    <row r="32" spans="1:12" ht="15.6" x14ac:dyDescent="0.3">
      <c r="A32" s="42"/>
      <c r="B32" s="29"/>
      <c r="C32" s="43" t="s">
        <v>95</v>
      </c>
      <c r="D32" s="29"/>
      <c r="E32" s="29"/>
      <c r="F32" s="29"/>
      <c r="G32" s="29"/>
      <c r="H32" s="29"/>
      <c r="I32" s="44">
        <f>SUM(I3:I31)</f>
        <v>32850000</v>
      </c>
      <c r="J32" s="29"/>
      <c r="K32" s="4"/>
      <c r="L32" s="4"/>
    </row>
    <row r="33" spans="1:10" ht="15.6" x14ac:dyDescent="0.3">
      <c r="A33" s="10"/>
      <c r="B33" s="9"/>
      <c r="C33" s="9"/>
      <c r="D33" s="9"/>
      <c r="E33" s="9"/>
      <c r="F33" s="9"/>
      <c r="G33" s="9"/>
      <c r="H33" s="9"/>
      <c r="I33" s="9"/>
      <c r="J33" s="9"/>
    </row>
    <row r="34" spans="1:10" ht="15.6" x14ac:dyDescent="0.3">
      <c r="A34" s="10"/>
      <c r="B34" s="9"/>
      <c r="C34" s="9"/>
      <c r="D34" s="49" t="s">
        <v>120</v>
      </c>
      <c r="E34" s="49"/>
      <c r="F34" s="49"/>
      <c r="G34" s="49"/>
      <c r="H34" s="49"/>
      <c r="I34" s="49"/>
      <c r="J34" s="9"/>
    </row>
  </sheetData>
  <mergeCells count="6">
    <mergeCell ref="A1:J1"/>
    <mergeCell ref="A21:A24"/>
    <mergeCell ref="A25:A28"/>
    <mergeCell ref="A29:A31"/>
    <mergeCell ref="A3:A7"/>
    <mergeCell ref="A8:A20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F66A-DC05-41F5-810F-B0A367A681AB}">
  <sheetPr>
    <pageSetUpPr fitToPage="1"/>
  </sheetPr>
  <dimension ref="A1:M31"/>
  <sheetViews>
    <sheetView zoomScale="85" zoomScaleNormal="85" workbookViewId="0">
      <selection activeCell="H23" sqref="H23"/>
    </sheetView>
  </sheetViews>
  <sheetFormatPr defaultRowHeight="13.8" x14ac:dyDescent="0.25"/>
  <cols>
    <col min="1" max="1" width="59.109375" style="51" customWidth="1"/>
    <col min="2" max="2" width="7.5546875" style="51" customWidth="1"/>
    <col min="3" max="3" width="7.21875" style="51" customWidth="1"/>
    <col min="4" max="4" width="7.44140625" style="51" customWidth="1"/>
    <col min="5" max="5" width="7.6640625" style="51" customWidth="1"/>
    <col min="6" max="6" width="7.44140625" style="51" customWidth="1"/>
    <col min="7" max="7" width="6.44140625" style="51" bestFit="1" customWidth="1"/>
    <col min="8" max="8" width="6.5546875" style="51" customWidth="1"/>
    <col min="9" max="9" width="6" style="51" customWidth="1"/>
    <col min="10" max="10" width="7.5546875" style="51" customWidth="1"/>
    <col min="11" max="11" width="8" style="51" customWidth="1"/>
    <col min="12" max="12" width="7.44140625" style="51" customWidth="1"/>
    <col min="13" max="13" width="7.109375" style="51" customWidth="1"/>
    <col min="14" max="16384" width="8.88671875" style="51"/>
  </cols>
  <sheetData>
    <row r="1" spans="1:13" ht="58.8" customHeight="1" x14ac:dyDescent="0.25">
      <c r="A1" s="76" t="s">
        <v>104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</row>
    <row r="2" spans="1:13" ht="39" customHeight="1" x14ac:dyDescent="0.25">
      <c r="A2" s="23" t="s">
        <v>105</v>
      </c>
      <c r="B2" s="45" t="s">
        <v>106</v>
      </c>
      <c r="C2" s="45" t="s">
        <v>107</v>
      </c>
      <c r="D2" s="45" t="s">
        <v>108</v>
      </c>
      <c r="E2" s="45" t="s">
        <v>109</v>
      </c>
      <c r="F2" s="45" t="s">
        <v>110</v>
      </c>
      <c r="G2" s="45" t="s">
        <v>111</v>
      </c>
      <c r="H2" s="45" t="s">
        <v>112</v>
      </c>
      <c r="I2" s="45" t="s">
        <v>113</v>
      </c>
      <c r="J2" s="45" t="s">
        <v>114</v>
      </c>
      <c r="K2" s="45" t="s">
        <v>115</v>
      </c>
      <c r="L2" s="45" t="s">
        <v>116</v>
      </c>
      <c r="M2" s="45" t="s">
        <v>117</v>
      </c>
    </row>
    <row r="3" spans="1:13" ht="16.8" customHeight="1" x14ac:dyDescent="0.25">
      <c r="A3" s="58" t="s">
        <v>125</v>
      </c>
      <c r="B3" s="46" t="s">
        <v>127</v>
      </c>
      <c r="C3" s="47" t="s">
        <v>127</v>
      </c>
      <c r="D3" s="47"/>
      <c r="E3" s="47"/>
      <c r="F3" s="47"/>
      <c r="G3" s="47"/>
      <c r="H3" s="47"/>
      <c r="I3" s="47"/>
      <c r="J3" s="47"/>
      <c r="K3" s="47"/>
      <c r="L3" s="47"/>
      <c r="M3" s="48"/>
    </row>
    <row r="4" spans="1:13" ht="15.6" x14ac:dyDescent="0.25">
      <c r="A4" s="42" t="s">
        <v>126</v>
      </c>
      <c r="B4" s="46"/>
      <c r="C4" s="61" t="s">
        <v>127</v>
      </c>
      <c r="D4" s="62" t="s">
        <v>127</v>
      </c>
      <c r="E4" s="62" t="s">
        <v>127</v>
      </c>
      <c r="F4" s="62" t="s">
        <v>127</v>
      </c>
      <c r="G4" s="62" t="s">
        <v>127</v>
      </c>
      <c r="H4" s="47"/>
      <c r="I4" s="47"/>
      <c r="J4" s="47"/>
      <c r="K4" s="47"/>
      <c r="L4" s="47"/>
      <c r="M4" s="48"/>
    </row>
    <row r="5" spans="1:13" ht="18.600000000000001" customHeight="1" x14ac:dyDescent="0.25">
      <c r="A5" s="59" t="s">
        <v>25</v>
      </c>
      <c r="B5" s="47"/>
      <c r="C5" s="46"/>
      <c r="D5" s="46"/>
      <c r="E5" s="47"/>
      <c r="F5" s="47"/>
      <c r="G5" s="63" t="s">
        <v>127</v>
      </c>
      <c r="H5" s="63" t="s">
        <v>127</v>
      </c>
      <c r="I5" s="63" t="s">
        <v>127</v>
      </c>
      <c r="J5" s="47"/>
      <c r="K5" s="47"/>
      <c r="L5" s="47"/>
      <c r="M5" s="48"/>
    </row>
    <row r="6" spans="1:13" ht="18.600000000000001" customHeight="1" x14ac:dyDescent="0.3">
      <c r="A6" s="60" t="s">
        <v>128</v>
      </c>
      <c r="B6" s="47"/>
      <c r="C6" s="47"/>
      <c r="D6" s="46"/>
      <c r="E6" s="46"/>
      <c r="F6" s="47"/>
      <c r="G6" s="47"/>
      <c r="H6" s="47"/>
      <c r="I6" s="47"/>
      <c r="J6" s="64" t="s">
        <v>127</v>
      </c>
      <c r="K6" s="47"/>
      <c r="L6" s="47"/>
      <c r="M6" s="48"/>
    </row>
    <row r="7" spans="1:13" ht="15.6" x14ac:dyDescent="0.3">
      <c r="A7" s="14" t="s">
        <v>34</v>
      </c>
      <c r="B7" s="47"/>
      <c r="C7" s="47"/>
      <c r="D7" s="47"/>
      <c r="E7" s="46"/>
      <c r="F7" s="47"/>
      <c r="G7" s="47"/>
      <c r="H7" s="47"/>
      <c r="I7" s="47"/>
      <c r="J7" s="47"/>
      <c r="K7" s="64" t="s">
        <v>127</v>
      </c>
      <c r="L7" s="47"/>
      <c r="M7" s="48"/>
    </row>
    <row r="8" spans="1:13" ht="15.6" x14ac:dyDescent="0.3">
      <c r="A8" s="20"/>
      <c r="B8" s="47"/>
      <c r="C8" s="47"/>
      <c r="D8" s="47"/>
      <c r="E8" s="46"/>
      <c r="F8" s="46"/>
      <c r="G8" s="47"/>
      <c r="H8" s="47"/>
      <c r="I8" s="47"/>
      <c r="J8" s="47"/>
      <c r="K8" s="47"/>
      <c r="L8" s="65" t="s">
        <v>127</v>
      </c>
      <c r="M8" s="66" t="s">
        <v>127</v>
      </c>
    </row>
    <row r="9" spans="1:13" ht="15.6" x14ac:dyDescent="0.3">
      <c r="A9" s="55"/>
      <c r="B9" s="54"/>
      <c r="C9" s="54"/>
      <c r="D9" s="54"/>
      <c r="E9" s="54"/>
      <c r="F9" s="53"/>
      <c r="G9" s="53"/>
      <c r="H9" s="53"/>
      <c r="I9" s="54"/>
      <c r="J9" s="54"/>
      <c r="K9" s="54"/>
      <c r="L9" s="54"/>
    </row>
    <row r="10" spans="1:13" ht="19.2" customHeight="1" x14ac:dyDescent="0.25">
      <c r="A10" s="52"/>
      <c r="B10" s="54"/>
      <c r="C10" s="54"/>
      <c r="D10" s="54"/>
      <c r="E10" s="54"/>
      <c r="F10" s="53"/>
      <c r="G10" s="53"/>
      <c r="H10" s="54"/>
      <c r="I10" s="54"/>
      <c r="J10" s="54"/>
      <c r="K10" s="54"/>
      <c r="L10" s="54"/>
    </row>
    <row r="11" spans="1:13" ht="15.6" x14ac:dyDescent="0.3">
      <c r="A11" s="55"/>
      <c r="B11" s="54"/>
      <c r="C11" s="54"/>
      <c r="D11" s="54"/>
      <c r="E11" s="54"/>
      <c r="F11" s="54"/>
      <c r="G11" s="53"/>
      <c r="H11" s="53"/>
      <c r="I11" s="54"/>
      <c r="J11" s="54"/>
      <c r="K11" s="54"/>
      <c r="L11" s="54"/>
    </row>
    <row r="12" spans="1:13" ht="15.6" x14ac:dyDescent="0.3">
      <c r="A12" s="55"/>
      <c r="B12" s="54"/>
      <c r="C12" s="54"/>
      <c r="D12" s="54"/>
      <c r="E12" s="54"/>
      <c r="F12" s="54"/>
      <c r="G12" s="53"/>
      <c r="H12" s="53"/>
      <c r="I12" s="54"/>
      <c r="J12" s="54"/>
      <c r="K12" s="54"/>
      <c r="L12" s="54"/>
    </row>
    <row r="13" spans="1:13" ht="15.6" x14ac:dyDescent="0.3">
      <c r="A13" s="55"/>
      <c r="B13" s="54"/>
      <c r="C13" s="54"/>
      <c r="D13" s="54"/>
      <c r="E13" s="54"/>
      <c r="F13" s="54"/>
      <c r="G13" s="53"/>
      <c r="H13" s="53"/>
      <c r="I13" s="53"/>
      <c r="J13" s="54"/>
      <c r="K13" s="54"/>
      <c r="L13" s="54"/>
    </row>
    <row r="14" spans="1:13" ht="15.6" x14ac:dyDescent="0.3">
      <c r="A14" s="55"/>
      <c r="B14" s="54"/>
      <c r="C14" s="54"/>
      <c r="D14" s="54"/>
      <c r="E14" s="54"/>
      <c r="F14" s="54"/>
      <c r="G14" s="53"/>
      <c r="H14" s="53"/>
      <c r="I14" s="53"/>
      <c r="J14" s="54"/>
      <c r="K14" s="54"/>
      <c r="L14" s="54"/>
    </row>
    <row r="15" spans="1:13" ht="15.6" x14ac:dyDescent="0.3">
      <c r="A15" s="55"/>
      <c r="B15" s="54"/>
      <c r="C15" s="54"/>
      <c r="D15" s="54"/>
      <c r="E15" s="54"/>
      <c r="F15" s="54"/>
      <c r="G15" s="53"/>
      <c r="H15" s="53"/>
      <c r="I15" s="54"/>
      <c r="J15" s="54"/>
      <c r="K15" s="54"/>
      <c r="L15" s="54"/>
    </row>
    <row r="16" spans="1:13" ht="15.6" x14ac:dyDescent="0.3">
      <c r="A16" s="55"/>
      <c r="B16" s="54"/>
      <c r="C16" s="54"/>
      <c r="D16" s="54"/>
      <c r="E16" s="54"/>
      <c r="F16" s="54"/>
      <c r="G16" s="53"/>
      <c r="H16" s="53"/>
      <c r="I16" s="54"/>
      <c r="J16" s="54"/>
      <c r="K16" s="54"/>
      <c r="L16" s="54"/>
    </row>
    <row r="17" spans="1:13" ht="15.6" x14ac:dyDescent="0.3">
      <c r="A17" s="55"/>
      <c r="B17" s="54"/>
      <c r="C17" s="54"/>
      <c r="D17" s="54"/>
      <c r="E17" s="54"/>
      <c r="F17" s="54"/>
      <c r="G17" s="54"/>
      <c r="H17" s="53"/>
      <c r="I17" s="54"/>
      <c r="J17" s="54"/>
      <c r="K17" s="54"/>
      <c r="L17" s="54"/>
    </row>
    <row r="18" spans="1:13" ht="15.6" x14ac:dyDescent="0.3">
      <c r="A18" s="55"/>
      <c r="B18" s="54"/>
      <c r="C18" s="54"/>
      <c r="D18" s="54"/>
      <c r="E18" s="54"/>
      <c r="F18" s="54"/>
      <c r="G18" s="53"/>
      <c r="H18" s="53"/>
      <c r="I18" s="53"/>
      <c r="J18" s="54"/>
      <c r="K18" s="54"/>
      <c r="L18" s="54"/>
    </row>
    <row r="19" spans="1:13" ht="15.6" x14ac:dyDescent="0.3">
      <c r="A19" s="55"/>
      <c r="B19" s="54"/>
      <c r="C19" s="54"/>
      <c r="D19" s="54"/>
      <c r="E19" s="54"/>
      <c r="F19" s="54"/>
      <c r="G19" s="53"/>
      <c r="H19" s="53"/>
      <c r="I19" s="53"/>
      <c r="J19" s="54"/>
      <c r="K19" s="54"/>
      <c r="L19" s="54"/>
    </row>
    <row r="20" spans="1:13" ht="15.6" x14ac:dyDescent="0.3">
      <c r="A20" s="55"/>
      <c r="B20" s="54"/>
      <c r="C20" s="54"/>
      <c r="D20" s="54"/>
      <c r="E20" s="54"/>
      <c r="F20" s="54"/>
      <c r="G20" s="54"/>
      <c r="H20" s="53"/>
      <c r="I20" s="53"/>
      <c r="J20" s="54"/>
      <c r="K20" s="54"/>
      <c r="L20" s="54"/>
    </row>
    <row r="21" spans="1:13" ht="15.6" x14ac:dyDescent="0.3">
      <c r="A21" s="55"/>
      <c r="B21" s="54"/>
      <c r="C21" s="54"/>
      <c r="D21" s="54"/>
      <c r="E21" s="54"/>
      <c r="F21" s="54"/>
      <c r="G21" s="54"/>
      <c r="H21" s="53"/>
      <c r="I21" s="53"/>
      <c r="J21" s="53"/>
      <c r="K21" s="54"/>
      <c r="L21" s="54"/>
    </row>
    <row r="22" spans="1:13" ht="19.2" customHeight="1" x14ac:dyDescent="0.25">
      <c r="A22" s="52"/>
      <c r="B22" s="54"/>
      <c r="C22" s="54"/>
      <c r="D22" s="54"/>
      <c r="E22" s="54"/>
      <c r="F22" s="54"/>
      <c r="G22" s="54"/>
      <c r="H22" s="54"/>
      <c r="I22" s="53"/>
      <c r="J22" s="53"/>
      <c r="K22" s="54"/>
      <c r="L22" s="54"/>
    </row>
    <row r="23" spans="1:13" ht="15.6" x14ac:dyDescent="0.3">
      <c r="A23" s="55"/>
      <c r="B23" s="54"/>
      <c r="C23" s="54"/>
      <c r="D23" s="54"/>
      <c r="E23" s="54"/>
      <c r="F23" s="54"/>
      <c r="G23" s="54"/>
      <c r="H23" s="54"/>
      <c r="I23" s="54"/>
      <c r="J23" s="53"/>
      <c r="K23" s="54"/>
      <c r="L23" s="54"/>
    </row>
    <row r="24" spans="1:13" ht="15.6" x14ac:dyDescent="0.3">
      <c r="A24" s="55"/>
      <c r="B24" s="54"/>
      <c r="C24" s="54"/>
      <c r="D24" s="54"/>
      <c r="E24" s="54"/>
      <c r="F24" s="54"/>
      <c r="G24" s="54"/>
      <c r="H24" s="54"/>
      <c r="I24" s="54"/>
      <c r="J24" s="53"/>
      <c r="K24" s="53"/>
      <c r="L24" s="54"/>
    </row>
    <row r="25" spans="1:13" ht="18.600000000000001" customHeight="1" x14ac:dyDescent="0.25">
      <c r="A25" s="52"/>
      <c r="B25" s="54"/>
      <c r="C25" s="54"/>
      <c r="D25" s="54"/>
      <c r="E25" s="54"/>
      <c r="F25" s="54"/>
      <c r="G25" s="54"/>
      <c r="H25" s="54"/>
      <c r="I25" s="54"/>
      <c r="J25" s="54"/>
      <c r="K25" s="53"/>
      <c r="L25" s="54"/>
    </row>
    <row r="26" spans="1:13" ht="15.6" x14ac:dyDescent="0.3">
      <c r="A26" s="55"/>
      <c r="B26" s="54"/>
      <c r="C26" s="54"/>
      <c r="D26" s="54"/>
      <c r="E26" s="54"/>
      <c r="F26" s="54"/>
      <c r="G26" s="54"/>
      <c r="H26" s="54"/>
      <c r="I26" s="54"/>
      <c r="J26" s="54"/>
      <c r="K26" s="53"/>
      <c r="L26" s="54"/>
    </row>
    <row r="27" spans="1:13" ht="15.6" x14ac:dyDescent="0.3">
      <c r="A27" s="55"/>
      <c r="B27" s="54"/>
      <c r="C27" s="54"/>
      <c r="D27" s="54"/>
      <c r="E27" s="54"/>
      <c r="F27" s="54"/>
      <c r="G27" s="54"/>
      <c r="H27" s="54"/>
      <c r="I27" s="54"/>
      <c r="J27" s="54"/>
      <c r="K27" s="53"/>
      <c r="L27" s="54"/>
    </row>
    <row r="28" spans="1:13" ht="15.6" x14ac:dyDescent="0.3">
      <c r="A28" s="55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3"/>
    </row>
    <row r="29" spans="1:13" ht="15.6" x14ac:dyDescent="0.3">
      <c r="A29" s="5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3"/>
      <c r="M29" s="53"/>
    </row>
    <row r="30" spans="1:13" ht="15.6" x14ac:dyDescent="0.3">
      <c r="A30" s="55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3"/>
    </row>
    <row r="31" spans="1:13" ht="15.6" x14ac:dyDescent="0.3">
      <c r="A31" s="55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3"/>
      <c r="M31" s="53"/>
    </row>
  </sheetData>
  <mergeCells count="1">
    <mergeCell ref="A1:M1"/>
  </mergeCells>
  <pageMargins left="0.7" right="0.7" top="0.75" bottom="0.75" header="0.3" footer="0.3"/>
  <pageSetup paperSize="9" scale="9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4559D-EE71-4E03-AF1F-233D3E6923B0}">
  <dimension ref="A1:P37"/>
  <sheetViews>
    <sheetView tabSelected="1" zoomScale="85" zoomScaleNormal="85" workbookViewId="0">
      <selection activeCell="C11" sqref="C11"/>
    </sheetView>
  </sheetViews>
  <sheetFormatPr defaultRowHeight="14.4" x14ac:dyDescent="0.3"/>
  <cols>
    <col min="1" max="1" width="58.88671875" customWidth="1"/>
    <col min="2" max="2" width="10.5546875" customWidth="1"/>
  </cols>
  <sheetData>
    <row r="1" spans="1:16" ht="25.8" x14ac:dyDescent="0.3">
      <c r="A1" s="79" t="s">
        <v>122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1"/>
      <c r="O1" s="50"/>
      <c r="P1" s="50"/>
    </row>
    <row r="2" spans="1:16" ht="28.2" customHeight="1" x14ac:dyDescent="0.3">
      <c r="A2" s="67" t="s">
        <v>105</v>
      </c>
      <c r="B2" s="67" t="s">
        <v>123</v>
      </c>
      <c r="C2" s="78" t="s">
        <v>124</v>
      </c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50"/>
      <c r="P2" s="50"/>
    </row>
    <row r="3" spans="1:16" x14ac:dyDescent="0.3">
      <c r="A3" s="77"/>
      <c r="B3" s="67"/>
      <c r="C3" s="57">
        <v>1</v>
      </c>
      <c r="D3" s="57">
        <v>2</v>
      </c>
      <c r="E3" s="57">
        <v>3</v>
      </c>
      <c r="F3" s="57">
        <v>4</v>
      </c>
      <c r="G3" s="57">
        <v>5</v>
      </c>
      <c r="H3" s="57">
        <v>6</v>
      </c>
      <c r="I3" s="57">
        <v>7</v>
      </c>
      <c r="J3" s="57">
        <v>8</v>
      </c>
      <c r="K3" s="57">
        <v>9</v>
      </c>
      <c r="L3" s="57">
        <v>10</v>
      </c>
      <c r="M3" s="57">
        <v>11</v>
      </c>
      <c r="N3" s="57">
        <v>12</v>
      </c>
    </row>
    <row r="4" spans="1:16" ht="15.6" x14ac:dyDescent="0.3">
      <c r="A4" s="56" t="s">
        <v>5</v>
      </c>
      <c r="B4" s="23">
        <v>2</v>
      </c>
      <c r="C4" s="23" t="s">
        <v>121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1"/>
      <c r="P4" s="11"/>
    </row>
    <row r="5" spans="1:16" ht="15.6" x14ac:dyDescent="0.3">
      <c r="A5" s="25" t="s">
        <v>6</v>
      </c>
      <c r="B5" s="23">
        <v>1</v>
      </c>
      <c r="C5" s="23" t="s">
        <v>121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11"/>
      <c r="P5" s="11"/>
    </row>
    <row r="6" spans="1:16" ht="15.6" x14ac:dyDescent="0.3">
      <c r="A6" s="27" t="s">
        <v>7</v>
      </c>
      <c r="B6" s="23">
        <v>1</v>
      </c>
      <c r="C6" s="23"/>
      <c r="D6" s="23" t="s">
        <v>121</v>
      </c>
      <c r="E6" s="23"/>
      <c r="F6" s="23"/>
      <c r="G6" s="23"/>
      <c r="H6" s="23"/>
      <c r="I6" s="23"/>
      <c r="J6" s="23"/>
      <c r="K6" s="23"/>
      <c r="L6" s="23"/>
      <c r="M6" s="23"/>
      <c r="N6" s="23"/>
      <c r="O6" s="11"/>
      <c r="P6" s="11"/>
    </row>
    <row r="7" spans="1:16" ht="15.6" x14ac:dyDescent="0.3">
      <c r="A7" s="16" t="s">
        <v>78</v>
      </c>
      <c r="B7" s="23">
        <v>1</v>
      </c>
      <c r="C7" s="23"/>
      <c r="D7" s="23" t="s">
        <v>121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11"/>
      <c r="P7" s="11"/>
    </row>
    <row r="8" spans="1:16" ht="15.6" x14ac:dyDescent="0.3">
      <c r="A8" s="28" t="s">
        <v>8</v>
      </c>
      <c r="B8" s="23">
        <v>1</v>
      </c>
      <c r="C8" s="23"/>
      <c r="D8" s="23" t="s">
        <v>121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11"/>
      <c r="P8" s="11"/>
    </row>
    <row r="9" spans="1:16" ht="15.6" x14ac:dyDescent="0.3">
      <c r="A9" s="29" t="s">
        <v>9</v>
      </c>
      <c r="B9" s="23">
        <v>1</v>
      </c>
      <c r="C9" s="23"/>
      <c r="D9" s="23" t="s">
        <v>121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11"/>
      <c r="P9" s="11"/>
    </row>
    <row r="10" spans="1:16" ht="15.6" x14ac:dyDescent="0.3">
      <c r="A10" s="14" t="s">
        <v>10</v>
      </c>
      <c r="B10" s="23">
        <v>6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11"/>
      <c r="P10" s="11"/>
    </row>
    <row r="11" spans="1:16" ht="15.6" x14ac:dyDescent="0.3">
      <c r="A11" s="20" t="s">
        <v>79</v>
      </c>
      <c r="B11" s="23">
        <v>2</v>
      </c>
      <c r="C11" s="45"/>
      <c r="D11" s="23" t="s">
        <v>121</v>
      </c>
      <c r="E11" s="45" t="s">
        <v>121</v>
      </c>
      <c r="F11" s="45"/>
      <c r="G11" s="45"/>
      <c r="H11" s="45"/>
      <c r="I11" s="45"/>
      <c r="J11" s="45"/>
      <c r="K11" s="45"/>
      <c r="L11" s="45"/>
      <c r="M11" s="45"/>
      <c r="N11" s="45"/>
    </row>
    <row r="12" spans="1:16" ht="15.6" x14ac:dyDescent="0.3">
      <c r="A12" s="29" t="s">
        <v>11</v>
      </c>
      <c r="B12" s="23">
        <v>4</v>
      </c>
      <c r="C12" s="45"/>
      <c r="D12" s="45"/>
      <c r="E12" s="45" t="s">
        <v>121</v>
      </c>
      <c r="F12" s="45" t="s">
        <v>121</v>
      </c>
      <c r="G12" s="45" t="s">
        <v>121</v>
      </c>
      <c r="H12" s="45" t="s">
        <v>121</v>
      </c>
      <c r="I12" s="45"/>
      <c r="J12" s="45"/>
      <c r="K12" s="45"/>
      <c r="L12" s="45"/>
      <c r="M12" s="45"/>
      <c r="N12" s="45"/>
    </row>
    <row r="13" spans="1:16" ht="15.6" x14ac:dyDescent="0.3">
      <c r="A13" s="25" t="s">
        <v>12</v>
      </c>
      <c r="B13" s="23">
        <v>1</v>
      </c>
      <c r="C13" s="45"/>
      <c r="D13" s="45"/>
      <c r="E13" s="45" t="s">
        <v>121</v>
      </c>
      <c r="F13" s="45"/>
      <c r="G13" s="45"/>
      <c r="H13" s="45"/>
      <c r="I13" s="45"/>
      <c r="J13" s="45"/>
      <c r="K13" s="45"/>
      <c r="L13" s="45"/>
      <c r="M13" s="45"/>
      <c r="N13" s="45"/>
    </row>
    <row r="14" spans="1:16" ht="15.6" x14ac:dyDescent="0.3">
      <c r="A14" s="29" t="s">
        <v>13</v>
      </c>
      <c r="B14" s="23">
        <v>1</v>
      </c>
      <c r="C14" s="45"/>
      <c r="D14" s="45"/>
      <c r="E14" s="45"/>
      <c r="F14" s="45" t="s">
        <v>121</v>
      </c>
      <c r="G14" s="45"/>
      <c r="H14" s="45"/>
      <c r="I14" s="45"/>
      <c r="J14" s="45"/>
      <c r="K14" s="45"/>
      <c r="L14" s="45"/>
      <c r="M14" s="45"/>
      <c r="N14" s="45"/>
    </row>
    <row r="15" spans="1:16" ht="15.6" x14ac:dyDescent="0.3">
      <c r="A15" s="29" t="s">
        <v>14</v>
      </c>
      <c r="B15" s="23">
        <v>2</v>
      </c>
      <c r="C15" s="45"/>
      <c r="D15" s="45"/>
      <c r="E15" s="45"/>
      <c r="F15" s="45" t="s">
        <v>121</v>
      </c>
      <c r="G15" s="45" t="s">
        <v>121</v>
      </c>
      <c r="H15" s="45"/>
      <c r="I15" s="45"/>
      <c r="J15" s="45"/>
      <c r="K15" s="45"/>
      <c r="L15" s="45"/>
      <c r="M15" s="45"/>
      <c r="N15" s="45"/>
    </row>
    <row r="16" spans="1:16" ht="15.6" x14ac:dyDescent="0.3">
      <c r="A16" s="29" t="s">
        <v>15</v>
      </c>
      <c r="B16" s="23">
        <v>2</v>
      </c>
      <c r="C16" s="45"/>
      <c r="D16" s="45"/>
      <c r="E16" s="45"/>
      <c r="F16" s="45" t="s">
        <v>121</v>
      </c>
      <c r="G16" s="45" t="s">
        <v>121</v>
      </c>
      <c r="H16" s="45"/>
      <c r="I16" s="45"/>
      <c r="J16" s="45"/>
      <c r="K16" s="45"/>
      <c r="L16" s="45"/>
      <c r="M16" s="45"/>
      <c r="N16" s="45"/>
    </row>
    <row r="17" spans="1:14" ht="15.6" x14ac:dyDescent="0.3">
      <c r="A17" s="29" t="s">
        <v>16</v>
      </c>
      <c r="B17" s="23">
        <v>2</v>
      </c>
      <c r="C17" s="45"/>
      <c r="D17" s="45"/>
      <c r="E17" s="45"/>
      <c r="F17" s="45" t="s">
        <v>121</v>
      </c>
      <c r="G17" s="45" t="s">
        <v>121</v>
      </c>
      <c r="H17" s="45"/>
      <c r="I17" s="45"/>
      <c r="J17" s="45"/>
      <c r="K17" s="45"/>
      <c r="L17" s="45"/>
      <c r="M17" s="45"/>
      <c r="N17" s="45"/>
    </row>
    <row r="18" spans="1:14" ht="15.6" x14ac:dyDescent="0.3">
      <c r="A18" s="29" t="s">
        <v>17</v>
      </c>
      <c r="B18" s="23">
        <v>2</v>
      </c>
      <c r="C18" s="45"/>
      <c r="D18" s="45"/>
      <c r="E18" s="45"/>
      <c r="F18" s="45"/>
      <c r="G18" s="45" t="s">
        <v>121</v>
      </c>
      <c r="H18" s="45" t="s">
        <v>121</v>
      </c>
      <c r="I18" s="45"/>
      <c r="J18" s="45"/>
      <c r="K18" s="45"/>
      <c r="L18" s="45"/>
      <c r="M18" s="45"/>
      <c r="N18" s="45"/>
    </row>
    <row r="19" spans="1:14" ht="15.6" x14ac:dyDescent="0.3">
      <c r="A19" s="29" t="s">
        <v>18</v>
      </c>
      <c r="B19" s="23">
        <v>2</v>
      </c>
      <c r="C19" s="45"/>
      <c r="D19" s="45"/>
      <c r="E19" s="45"/>
      <c r="F19" s="45"/>
      <c r="G19" s="45"/>
      <c r="H19" s="45" t="s">
        <v>121</v>
      </c>
      <c r="I19" s="45" t="s">
        <v>121</v>
      </c>
      <c r="J19" s="45"/>
      <c r="K19" s="45"/>
      <c r="L19" s="45"/>
      <c r="M19" s="45"/>
      <c r="N19" s="45"/>
    </row>
    <row r="20" spans="1:14" ht="15.6" x14ac:dyDescent="0.3">
      <c r="A20" s="29" t="s">
        <v>19</v>
      </c>
      <c r="B20" s="23">
        <v>2</v>
      </c>
      <c r="C20" s="45"/>
      <c r="D20" s="45"/>
      <c r="E20" s="45"/>
      <c r="F20" s="45"/>
      <c r="G20" s="45"/>
      <c r="H20" s="45" t="s">
        <v>121</v>
      </c>
      <c r="I20" s="45" t="s">
        <v>121</v>
      </c>
      <c r="J20" s="45"/>
      <c r="K20" s="45"/>
      <c r="L20" s="45"/>
      <c r="M20" s="45"/>
      <c r="N20" s="45"/>
    </row>
    <row r="21" spans="1:14" ht="15.6" x14ac:dyDescent="0.3">
      <c r="A21" s="29" t="s">
        <v>20</v>
      </c>
      <c r="B21" s="23">
        <v>2</v>
      </c>
      <c r="C21" s="45"/>
      <c r="D21" s="45"/>
      <c r="E21" s="45"/>
      <c r="F21" s="45"/>
      <c r="G21" s="45"/>
      <c r="H21" s="45" t="s">
        <v>121</v>
      </c>
      <c r="I21" s="45" t="s">
        <v>121</v>
      </c>
      <c r="J21" s="45"/>
      <c r="K21" s="45"/>
      <c r="L21" s="45"/>
      <c r="M21" s="45"/>
      <c r="N21" s="45"/>
    </row>
    <row r="22" spans="1:14" ht="15.6" x14ac:dyDescent="0.3">
      <c r="A22" s="29" t="s">
        <v>21</v>
      </c>
      <c r="B22" s="23">
        <v>2</v>
      </c>
      <c r="C22" s="45"/>
      <c r="D22" s="45"/>
      <c r="E22" s="45"/>
      <c r="F22" s="45"/>
      <c r="G22" s="45"/>
      <c r="H22" s="45" t="s">
        <v>121</v>
      </c>
      <c r="I22" s="45" t="s">
        <v>121</v>
      </c>
      <c r="J22" s="45"/>
      <c r="K22" s="45"/>
      <c r="L22" s="45"/>
      <c r="M22" s="45"/>
      <c r="N22" s="45"/>
    </row>
    <row r="23" spans="1:14" ht="15.6" x14ac:dyDescent="0.3">
      <c r="A23" s="29" t="s">
        <v>22</v>
      </c>
      <c r="B23" s="23">
        <v>1</v>
      </c>
      <c r="C23" s="45"/>
      <c r="D23" s="45"/>
      <c r="E23" s="45"/>
      <c r="F23" s="45"/>
      <c r="G23" s="45"/>
      <c r="H23" s="45"/>
      <c r="I23" s="45" t="s">
        <v>121</v>
      </c>
      <c r="J23" s="45"/>
      <c r="K23" s="45"/>
      <c r="L23" s="45"/>
      <c r="M23" s="45"/>
      <c r="N23" s="45"/>
    </row>
    <row r="24" spans="1:14" ht="15.6" x14ac:dyDescent="0.3">
      <c r="A24" s="14" t="s">
        <v>25</v>
      </c>
      <c r="B24" s="45">
        <v>2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</row>
    <row r="25" spans="1:14" ht="15.6" x14ac:dyDescent="0.3">
      <c r="A25" s="29" t="s">
        <v>23</v>
      </c>
      <c r="B25" s="45">
        <v>1</v>
      </c>
      <c r="C25" s="45"/>
      <c r="D25" s="45"/>
      <c r="E25" s="45"/>
      <c r="F25" s="45"/>
      <c r="G25" s="45"/>
      <c r="H25" s="45"/>
      <c r="I25" s="45"/>
      <c r="J25" s="45" t="s">
        <v>121</v>
      </c>
      <c r="K25" s="45"/>
      <c r="L25" s="45"/>
      <c r="M25" s="45"/>
      <c r="N25" s="45"/>
    </row>
    <row r="26" spans="1:14" ht="15.6" x14ac:dyDescent="0.3">
      <c r="A26" s="25" t="s">
        <v>24</v>
      </c>
      <c r="B26" s="45">
        <v>1</v>
      </c>
      <c r="C26" s="45"/>
      <c r="D26" s="45"/>
      <c r="E26" s="45"/>
      <c r="F26" s="45"/>
      <c r="G26" s="45"/>
      <c r="H26" s="45"/>
      <c r="I26" s="45"/>
      <c r="J26" s="45" t="s">
        <v>121</v>
      </c>
      <c r="K26" s="45"/>
      <c r="L26" s="45"/>
      <c r="M26" s="45"/>
      <c r="N26" s="45"/>
    </row>
    <row r="27" spans="1:14" ht="15.6" x14ac:dyDescent="0.3">
      <c r="A27" s="29" t="s">
        <v>80</v>
      </c>
      <c r="B27" s="45">
        <v>1</v>
      </c>
      <c r="C27" s="45"/>
      <c r="D27" s="45"/>
      <c r="E27" s="45"/>
      <c r="F27" s="45"/>
      <c r="G27" s="45"/>
      <c r="H27" s="45"/>
      <c r="I27" s="45"/>
      <c r="J27" s="45" t="s">
        <v>121</v>
      </c>
      <c r="K27" s="45"/>
      <c r="L27" s="45"/>
      <c r="M27" s="45"/>
      <c r="N27" s="45"/>
    </row>
    <row r="28" spans="1:14" ht="15.6" x14ac:dyDescent="0.3">
      <c r="A28" s="29" t="s">
        <v>26</v>
      </c>
      <c r="B28" s="45">
        <v>1</v>
      </c>
      <c r="C28" s="45"/>
      <c r="D28" s="45"/>
      <c r="E28" s="45"/>
      <c r="F28" s="45"/>
      <c r="G28" s="45"/>
      <c r="H28" s="45"/>
      <c r="I28" s="45"/>
      <c r="J28" s="45"/>
      <c r="K28" s="45" t="s">
        <v>121</v>
      </c>
      <c r="L28" s="45"/>
      <c r="M28" s="45"/>
      <c r="N28" s="45"/>
    </row>
    <row r="29" spans="1:14" ht="15.6" x14ac:dyDescent="0.3">
      <c r="A29" s="14" t="s">
        <v>29</v>
      </c>
      <c r="B29" s="45">
        <v>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</row>
    <row r="30" spans="1:14" ht="15.6" x14ac:dyDescent="0.3">
      <c r="A30" s="25" t="s">
        <v>27</v>
      </c>
      <c r="B30" s="45">
        <v>1</v>
      </c>
      <c r="C30" s="45"/>
      <c r="D30" s="45"/>
      <c r="E30" s="45"/>
      <c r="F30" s="45"/>
      <c r="G30" s="45"/>
      <c r="H30" s="45"/>
      <c r="I30" s="45"/>
      <c r="J30" s="45"/>
      <c r="K30" s="45"/>
      <c r="L30" s="45" t="s">
        <v>121</v>
      </c>
      <c r="M30" s="45"/>
      <c r="N30" s="45"/>
    </row>
    <row r="31" spans="1:14" ht="15.6" x14ac:dyDescent="0.3">
      <c r="A31" s="29" t="s">
        <v>28</v>
      </c>
      <c r="B31" s="45">
        <v>1</v>
      </c>
      <c r="C31" s="45"/>
      <c r="D31" s="45"/>
      <c r="E31" s="45"/>
      <c r="F31" s="45"/>
      <c r="G31" s="45"/>
      <c r="H31" s="45"/>
      <c r="I31" s="45"/>
      <c r="J31" s="45"/>
      <c r="K31" s="45"/>
      <c r="L31" s="45" t="s">
        <v>121</v>
      </c>
      <c r="M31" s="45"/>
      <c r="N31" s="45"/>
    </row>
    <row r="32" spans="1:14" ht="15.6" x14ac:dyDescent="0.3">
      <c r="A32" s="29" t="s">
        <v>30</v>
      </c>
      <c r="B32" s="45">
        <v>1</v>
      </c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 t="s">
        <v>121</v>
      </c>
      <c r="N32" s="45"/>
    </row>
    <row r="33" spans="1:14" ht="15.6" x14ac:dyDescent="0.3">
      <c r="A33" s="29" t="s">
        <v>31</v>
      </c>
      <c r="B33" s="45">
        <v>1</v>
      </c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 t="s">
        <v>121</v>
      </c>
      <c r="N33" s="45"/>
    </row>
    <row r="34" spans="1:14" ht="15.6" x14ac:dyDescent="0.3">
      <c r="A34" s="14" t="s">
        <v>34</v>
      </c>
      <c r="B34" s="45">
        <v>2</v>
      </c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</row>
    <row r="35" spans="1:14" ht="15.6" x14ac:dyDescent="0.3">
      <c r="A35" s="29" t="s">
        <v>32</v>
      </c>
      <c r="B35" s="45">
        <v>1</v>
      </c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 t="s">
        <v>121</v>
      </c>
      <c r="N35" s="45"/>
    </row>
    <row r="36" spans="1:14" ht="15.6" x14ac:dyDescent="0.3">
      <c r="A36" s="29" t="s">
        <v>33</v>
      </c>
      <c r="B36" s="45">
        <v>1</v>
      </c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 t="s">
        <v>121</v>
      </c>
    </row>
    <row r="37" spans="1:14" ht="15.6" x14ac:dyDescent="0.3">
      <c r="A37" s="29" t="s">
        <v>35</v>
      </c>
      <c r="B37" s="45">
        <v>1</v>
      </c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 t="s">
        <v>121</v>
      </c>
    </row>
  </sheetData>
  <mergeCells count="4">
    <mergeCell ref="A2:A3"/>
    <mergeCell ref="B2:B3"/>
    <mergeCell ref="C2:N2"/>
    <mergeCell ref="A1:N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Bangcongviec</vt:lpstr>
      <vt:lpstr>Uocluongthoigian</vt:lpstr>
      <vt:lpstr>Chiphi</vt:lpstr>
      <vt:lpstr>Lichtrinhduan</vt:lpstr>
      <vt:lpstr>lichtrinhcongviec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Đức Thuần</dc:creator>
  <cp:lastModifiedBy>Bùi Đức Thuần</cp:lastModifiedBy>
  <cp:lastPrinted>2026-03-26T02:22:37Z</cp:lastPrinted>
  <dcterms:created xsi:type="dcterms:W3CDTF">2026-03-05T01:57:33Z</dcterms:created>
  <dcterms:modified xsi:type="dcterms:W3CDTF">2026-04-02T01:34:58Z</dcterms:modified>
</cp:coreProperties>
</file>